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ports\FUT_STATS_APP\action\"/>
    </mc:Choice>
  </mc:AlternateContent>
  <xr:revisionPtr revIDLastSave="0" documentId="13_ncr:1_{50BABFAE-22BF-4FFA-85B3-91E25A8A4B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 DRAW HT" sheetId="1" r:id="rId1"/>
    <sheet name="HT(0x0) - BACK OVER 0.5" sheetId="2" r:id="rId2"/>
    <sheet name="LAY 0x1" sheetId="3" r:id="rId3"/>
    <sheet name="BACK OVER 0.5 HT" sheetId="4" r:id="rId4"/>
    <sheet name="BACK TIME CAS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6" i="1"/>
  <c r="Q4" i="1"/>
  <c r="Q3" i="1"/>
  <c r="Q49" i="5"/>
  <c r="Q50" i="5" s="1"/>
  <c r="Q51" i="5" s="1"/>
  <c r="Q52" i="5" s="1"/>
  <c r="Q53" i="5" s="1"/>
  <c r="Q54" i="5" s="1"/>
  <c r="Q55" i="5" s="1"/>
  <c r="P49" i="5"/>
  <c r="P50" i="5"/>
  <c r="P51" i="5"/>
  <c r="P52" i="5"/>
  <c r="P53" i="5"/>
  <c r="P54" i="5"/>
  <c r="P55" i="5"/>
  <c r="O49" i="5"/>
  <c r="O50" i="5"/>
  <c r="O51" i="5"/>
  <c r="O52" i="5"/>
  <c r="O53" i="5"/>
  <c r="O54" i="5"/>
  <c r="O55" i="5"/>
  <c r="M49" i="5"/>
  <c r="N49" i="5"/>
  <c r="M50" i="5"/>
  <c r="N50" i="5"/>
  <c r="M51" i="5"/>
  <c r="N51" i="5"/>
  <c r="M52" i="5"/>
  <c r="N52" i="5"/>
  <c r="M53" i="5"/>
  <c r="N53" i="5"/>
  <c r="M54" i="5"/>
  <c r="N54" i="5"/>
  <c r="M55" i="5"/>
  <c r="N55" i="5"/>
  <c r="J55" i="5"/>
  <c r="J54" i="5"/>
  <c r="J53" i="5"/>
  <c r="J52" i="5"/>
  <c r="J51" i="5"/>
  <c r="J50" i="5"/>
  <c r="J49" i="5"/>
  <c r="J48" i="5"/>
  <c r="N39" i="4"/>
  <c r="N40" i="4"/>
  <c r="N41" i="4"/>
  <c r="O39" i="4"/>
  <c r="P39" i="4" s="1"/>
  <c r="Q39" i="4" s="1"/>
  <c r="R39" i="4" s="1"/>
  <c r="O40" i="4"/>
  <c r="P40" i="4" s="1"/>
  <c r="Q40" i="4" s="1"/>
  <c r="O41" i="4"/>
  <c r="J41" i="4"/>
  <c r="K41" i="4"/>
  <c r="J40" i="4"/>
  <c r="K40" i="4" s="1"/>
  <c r="J39" i="4"/>
  <c r="K39" i="4" s="1"/>
  <c r="Q16" i="3"/>
  <c r="Q17" i="3"/>
  <c r="Q18" i="3"/>
  <c r="Q19" i="3" s="1"/>
  <c r="Q20" i="3" s="1"/>
  <c r="Q21" i="3" s="1"/>
  <c r="J21" i="3"/>
  <c r="N21" i="3" s="1"/>
  <c r="J20" i="3"/>
  <c r="N20" i="3" s="1"/>
  <c r="J19" i="3"/>
  <c r="N19" i="3" s="1"/>
  <c r="J18" i="3"/>
  <c r="N18" i="3" s="1"/>
  <c r="J17" i="3"/>
  <c r="N17" i="3" s="1"/>
  <c r="J16" i="3"/>
  <c r="N16" i="3" s="1"/>
  <c r="N13" i="2"/>
  <c r="N14" i="2" s="1"/>
  <c r="L13" i="2"/>
  <c r="L14" i="2"/>
  <c r="K13" i="2"/>
  <c r="K14" i="2"/>
  <c r="H14" i="2"/>
  <c r="H13" i="2"/>
  <c r="N40" i="1"/>
  <c r="K40" i="1"/>
  <c r="L40" i="1"/>
  <c r="H40" i="1"/>
  <c r="N39" i="1"/>
  <c r="M37" i="1"/>
  <c r="H39" i="1"/>
  <c r="L39" i="1"/>
  <c r="N37" i="1"/>
  <c r="N38" i="1" s="1"/>
  <c r="K39" i="1"/>
  <c r="H38" i="1"/>
  <c r="L38" i="1"/>
  <c r="K38" i="1"/>
  <c r="K37" i="1"/>
  <c r="L37" i="1"/>
  <c r="H37" i="1"/>
  <c r="N35" i="1"/>
  <c r="N36" i="1"/>
  <c r="H36" i="1"/>
  <c r="L36" i="1" s="1"/>
  <c r="H35" i="1"/>
  <c r="L35" i="1"/>
  <c r="K36" i="1"/>
  <c r="K35" i="1"/>
  <c r="M33" i="1"/>
  <c r="M32" i="1"/>
  <c r="N32" i="1"/>
  <c r="N33" i="1" s="1"/>
  <c r="N34" i="1" s="1"/>
  <c r="H34" i="1"/>
  <c r="L34" i="1"/>
  <c r="H33" i="1"/>
  <c r="L33" i="1" s="1"/>
  <c r="L32" i="1"/>
  <c r="M17" i="3"/>
  <c r="M18" i="3"/>
  <c r="M19" i="3"/>
  <c r="M20" i="3"/>
  <c r="M21" i="3"/>
  <c r="M22" i="3"/>
  <c r="M16" i="3"/>
  <c r="N48" i="5"/>
  <c r="O48" i="5" s="1"/>
  <c r="M43" i="5"/>
  <c r="M44" i="5"/>
  <c r="M45" i="5"/>
  <c r="M46" i="5"/>
  <c r="M47" i="5"/>
  <c r="M48" i="5"/>
  <c r="J47" i="5"/>
  <c r="N47" i="5" s="1"/>
  <c r="J46" i="5"/>
  <c r="N46" i="5" s="1"/>
  <c r="O46" i="5" s="1"/>
  <c r="P46" i="5" s="1"/>
  <c r="J45" i="5"/>
  <c r="N45" i="5" s="1"/>
  <c r="J44" i="5"/>
  <c r="N44" i="5" s="1"/>
  <c r="J43" i="5"/>
  <c r="N43" i="5" s="1"/>
  <c r="P37" i="4"/>
  <c r="Q37" i="4" s="1"/>
  <c r="O37" i="4"/>
  <c r="N33" i="4"/>
  <c r="N34" i="4"/>
  <c r="N35" i="4"/>
  <c r="N36" i="4"/>
  <c r="N37" i="4"/>
  <c r="N38" i="4"/>
  <c r="J38" i="4"/>
  <c r="K38" i="4" s="1"/>
  <c r="O38" i="4" s="1"/>
  <c r="J37" i="4"/>
  <c r="K37" i="4" s="1"/>
  <c r="J36" i="4"/>
  <c r="K36" i="4" s="1"/>
  <c r="O36" i="4" s="1"/>
  <c r="J35" i="4"/>
  <c r="K35" i="4"/>
  <c r="O35" i="4" s="1"/>
  <c r="J34" i="4"/>
  <c r="K34" i="4"/>
  <c r="O34" i="4" s="1"/>
  <c r="J33" i="4"/>
  <c r="K33" i="4" s="1"/>
  <c r="O33" i="4" s="1"/>
  <c r="J32" i="4"/>
  <c r="K32" i="4"/>
  <c r="O32" i="4" s="1"/>
  <c r="P32" i="4" s="1"/>
  <c r="J14" i="3"/>
  <c r="N14" i="3" s="1"/>
  <c r="J15" i="3"/>
  <c r="N15" i="3" s="1"/>
  <c r="J13" i="3"/>
  <c r="N13" i="3" s="1"/>
  <c r="K33" i="1"/>
  <c r="K34" i="1"/>
  <c r="K32" i="1"/>
  <c r="M14" i="3"/>
  <c r="M15" i="3"/>
  <c r="R6" i="1"/>
  <c r="N30" i="1"/>
  <c r="N31" i="1"/>
  <c r="L31" i="1"/>
  <c r="H31" i="1"/>
  <c r="H30" i="1"/>
  <c r="L30" i="1"/>
  <c r="M30" i="1" s="1"/>
  <c r="K31" i="1"/>
  <c r="K30" i="1"/>
  <c r="M41" i="5"/>
  <c r="M42" i="5"/>
  <c r="J42" i="5"/>
  <c r="N42" i="5" s="1"/>
  <c r="N32" i="4"/>
  <c r="M13" i="3"/>
  <c r="N29" i="1"/>
  <c r="H29" i="1"/>
  <c r="L29" i="1" s="1"/>
  <c r="M29" i="1" s="1"/>
  <c r="K29" i="1"/>
  <c r="J41" i="5"/>
  <c r="N41" i="5" s="1"/>
  <c r="N30" i="4"/>
  <c r="N31" i="4"/>
  <c r="J31" i="4"/>
  <c r="K31" i="4" s="1"/>
  <c r="O31" i="4" s="1"/>
  <c r="J30" i="4"/>
  <c r="K30" i="4" s="1"/>
  <c r="O30" i="4" s="1"/>
  <c r="P30" i="4" s="1"/>
  <c r="M19" i="1"/>
  <c r="M20" i="1"/>
  <c r="M21" i="1"/>
  <c r="M22" i="1"/>
  <c r="M23" i="1"/>
  <c r="M24" i="1"/>
  <c r="M25" i="1"/>
  <c r="M26" i="1"/>
  <c r="M28" i="1"/>
  <c r="L26" i="1"/>
  <c r="L27" i="1"/>
  <c r="L28" i="1"/>
  <c r="H28" i="1"/>
  <c r="K28" i="1"/>
  <c r="K27" i="1"/>
  <c r="H27" i="1"/>
  <c r="R40" i="4" l="1"/>
  <c r="P41" i="4"/>
  <c r="Q41" i="4" s="1"/>
  <c r="O21" i="3"/>
  <c r="P21" i="3" s="1"/>
  <c r="O20" i="3"/>
  <c r="P20" i="3" s="1"/>
  <c r="O19" i="3"/>
  <c r="P19" i="3" s="1"/>
  <c r="O18" i="3"/>
  <c r="P18" i="3"/>
  <c r="O17" i="3"/>
  <c r="P17" i="3"/>
  <c r="O16" i="3"/>
  <c r="P16" i="3" s="1"/>
  <c r="Q5" i="1"/>
  <c r="P47" i="5"/>
  <c r="O47" i="5"/>
  <c r="O41" i="5"/>
  <c r="P41" i="5"/>
  <c r="O44" i="5"/>
  <c r="P44" i="5" s="1"/>
  <c r="O42" i="5"/>
  <c r="P42" i="5" s="1"/>
  <c r="O45" i="5"/>
  <c r="P45" i="5" s="1"/>
  <c r="O43" i="5"/>
  <c r="P43" i="5" s="1"/>
  <c r="P48" i="5"/>
  <c r="P33" i="4"/>
  <c r="Q33" i="4" s="1"/>
  <c r="P34" i="4"/>
  <c r="Q34" i="4" s="1"/>
  <c r="P35" i="4"/>
  <c r="Q35" i="4" s="1"/>
  <c r="P38" i="4"/>
  <c r="Q38" i="4" s="1"/>
  <c r="P31" i="4"/>
  <c r="Q31" i="4" s="1"/>
  <c r="P36" i="4"/>
  <c r="Q36" i="4" s="1"/>
  <c r="Q30" i="4"/>
  <c r="O14" i="3"/>
  <c r="P14" i="3" s="1"/>
  <c r="O15" i="3"/>
  <c r="P15" i="3" s="1"/>
  <c r="Q32" i="4"/>
  <c r="O13" i="3"/>
  <c r="P13" i="3" s="1"/>
  <c r="M9" i="1"/>
  <c r="N27" i="4"/>
  <c r="N28" i="4"/>
  <c r="N29" i="4"/>
  <c r="J29" i="4"/>
  <c r="K29" i="4" s="1"/>
  <c r="O29" i="4" s="1"/>
  <c r="M12" i="3"/>
  <c r="J12" i="3"/>
  <c r="N12" i="3" s="1"/>
  <c r="J3" i="5"/>
  <c r="N3" i="5" s="1"/>
  <c r="J4" i="5"/>
  <c r="N4" i="5" s="1"/>
  <c r="J5" i="5"/>
  <c r="J6" i="5"/>
  <c r="N6" i="5" s="1"/>
  <c r="O6" i="5" s="1"/>
  <c r="J7" i="5"/>
  <c r="N7" i="5" s="1"/>
  <c r="J8" i="5"/>
  <c r="N8" i="5" s="1"/>
  <c r="J9" i="5"/>
  <c r="N9" i="5" s="1"/>
  <c r="J10" i="5"/>
  <c r="N10" i="5" s="1"/>
  <c r="O10" i="5" s="1"/>
  <c r="P10" i="5" s="1"/>
  <c r="J11" i="5"/>
  <c r="N11" i="5" s="1"/>
  <c r="O11" i="5" s="1"/>
  <c r="J12" i="5"/>
  <c r="N12" i="5" s="1"/>
  <c r="O12" i="5" s="1"/>
  <c r="P12" i="5" s="1"/>
  <c r="J13" i="5"/>
  <c r="N13" i="5" s="1"/>
  <c r="J14" i="5"/>
  <c r="N14" i="5" s="1"/>
  <c r="J15" i="5"/>
  <c r="N15" i="5" s="1"/>
  <c r="J16" i="5"/>
  <c r="N16" i="5" s="1"/>
  <c r="J17" i="5"/>
  <c r="N17" i="5" s="1"/>
  <c r="J18" i="5"/>
  <c r="N18" i="5" s="1"/>
  <c r="O18" i="5" s="1"/>
  <c r="J19" i="5"/>
  <c r="N19" i="5" s="1"/>
  <c r="J20" i="5"/>
  <c r="N20" i="5" s="1"/>
  <c r="J21" i="5"/>
  <c r="N21" i="5" s="1"/>
  <c r="J22" i="5"/>
  <c r="N22" i="5" s="1"/>
  <c r="J23" i="5"/>
  <c r="N23" i="5" s="1"/>
  <c r="O23" i="5" s="1"/>
  <c r="J24" i="5"/>
  <c r="N24" i="5" s="1"/>
  <c r="J25" i="5"/>
  <c r="N25" i="5" s="1"/>
  <c r="J26" i="5"/>
  <c r="N26" i="5" s="1"/>
  <c r="J27" i="5"/>
  <c r="N27" i="5" s="1"/>
  <c r="J28" i="5"/>
  <c r="N28" i="5" s="1"/>
  <c r="J29" i="5"/>
  <c r="N29" i="5" s="1"/>
  <c r="J30" i="5"/>
  <c r="N30" i="5" s="1"/>
  <c r="O30" i="5" s="1"/>
  <c r="J31" i="5"/>
  <c r="N31" i="5" s="1"/>
  <c r="J32" i="5"/>
  <c r="N32" i="5" s="1"/>
  <c r="J33" i="5"/>
  <c r="N33" i="5" s="1"/>
  <c r="J34" i="5"/>
  <c r="N34" i="5" s="1"/>
  <c r="O34" i="5" s="1"/>
  <c r="P34" i="5" s="1"/>
  <c r="J35" i="5"/>
  <c r="N35" i="5" s="1"/>
  <c r="O35" i="5" s="1"/>
  <c r="J36" i="5"/>
  <c r="N36" i="5" s="1"/>
  <c r="O36" i="5" s="1"/>
  <c r="P36" i="5" s="1"/>
  <c r="J37" i="5"/>
  <c r="N37" i="5" s="1"/>
  <c r="J38" i="5"/>
  <c r="N38" i="5" s="1"/>
  <c r="J39" i="5"/>
  <c r="N39" i="5" s="1"/>
  <c r="J40" i="5"/>
  <c r="N40" i="5" s="1"/>
  <c r="O40" i="5" s="1"/>
  <c r="N5" i="5"/>
  <c r="O5" i="5" s="1"/>
  <c r="P5" i="5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3" i="5"/>
  <c r="M2" i="5"/>
  <c r="J2" i="5"/>
  <c r="N2" i="5" s="1"/>
  <c r="L10" i="2"/>
  <c r="K10" i="2"/>
  <c r="K11" i="2"/>
  <c r="K12" i="2"/>
  <c r="H12" i="2"/>
  <c r="L12" i="2" s="1"/>
  <c r="H11" i="2"/>
  <c r="L11" i="2" s="1"/>
  <c r="H10" i="2"/>
  <c r="H9" i="2"/>
  <c r="L9" i="2"/>
  <c r="H8" i="2"/>
  <c r="L8" i="2" s="1"/>
  <c r="H7" i="2"/>
  <c r="L7" i="2" s="1"/>
  <c r="H6" i="2"/>
  <c r="L6" i="2" s="1"/>
  <c r="H26" i="1"/>
  <c r="H25" i="1"/>
  <c r="L25" i="1"/>
  <c r="K9" i="2"/>
  <c r="K8" i="2"/>
  <c r="K26" i="1"/>
  <c r="K7" i="2"/>
  <c r="K25" i="1"/>
  <c r="K6" i="2"/>
  <c r="J28" i="4"/>
  <c r="K28" i="4" s="1"/>
  <c r="O28" i="4" s="1"/>
  <c r="P28" i="4" s="1"/>
  <c r="Q28" i="4" s="1"/>
  <c r="J27" i="4"/>
  <c r="K27" i="4" s="1"/>
  <c r="O27" i="4" s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K25" i="4"/>
  <c r="O25" i="4" s="1"/>
  <c r="J3" i="4"/>
  <c r="K3" i="4" s="1"/>
  <c r="O3" i="4" s="1"/>
  <c r="J4" i="4"/>
  <c r="K4" i="4" s="1"/>
  <c r="O4" i="4" s="1"/>
  <c r="J5" i="4"/>
  <c r="K5" i="4" s="1"/>
  <c r="O5" i="4" s="1"/>
  <c r="J6" i="4"/>
  <c r="K6" i="4" s="1"/>
  <c r="O6" i="4" s="1"/>
  <c r="J7" i="4"/>
  <c r="K7" i="4" s="1"/>
  <c r="O7" i="4" s="1"/>
  <c r="P7" i="4" s="1"/>
  <c r="Q7" i="4" s="1"/>
  <c r="J8" i="4"/>
  <c r="K8" i="4" s="1"/>
  <c r="O8" i="4" s="1"/>
  <c r="J9" i="4"/>
  <c r="K9" i="4" s="1"/>
  <c r="O9" i="4" s="1"/>
  <c r="J10" i="4"/>
  <c r="K10" i="4" s="1"/>
  <c r="O10" i="4" s="1"/>
  <c r="J11" i="4"/>
  <c r="K11" i="4" s="1"/>
  <c r="O11" i="4" s="1"/>
  <c r="J12" i="4"/>
  <c r="K12" i="4" s="1"/>
  <c r="O12" i="4" s="1"/>
  <c r="J13" i="4"/>
  <c r="K13" i="4" s="1"/>
  <c r="O13" i="4" s="1"/>
  <c r="J14" i="4"/>
  <c r="K14" i="4" s="1"/>
  <c r="O14" i="4" s="1"/>
  <c r="J15" i="4"/>
  <c r="K15" i="4" s="1"/>
  <c r="O15" i="4" s="1"/>
  <c r="J16" i="4"/>
  <c r="K16" i="4" s="1"/>
  <c r="O16" i="4" s="1"/>
  <c r="J17" i="4"/>
  <c r="K17" i="4" s="1"/>
  <c r="O17" i="4" s="1"/>
  <c r="J18" i="4"/>
  <c r="K18" i="4" s="1"/>
  <c r="O18" i="4" s="1"/>
  <c r="J19" i="4"/>
  <c r="K19" i="4" s="1"/>
  <c r="O19" i="4" s="1"/>
  <c r="J20" i="4"/>
  <c r="K20" i="4" s="1"/>
  <c r="O20" i="4" s="1"/>
  <c r="J21" i="4"/>
  <c r="K21" i="4" s="1"/>
  <c r="O21" i="4" s="1"/>
  <c r="J22" i="4"/>
  <c r="K22" i="4" s="1"/>
  <c r="O22" i="4" s="1"/>
  <c r="J23" i="4"/>
  <c r="K23" i="4" s="1"/>
  <c r="O23" i="4" s="1"/>
  <c r="J24" i="4"/>
  <c r="K24" i="4" s="1"/>
  <c r="O24" i="4" s="1"/>
  <c r="J25" i="4"/>
  <c r="J26" i="4"/>
  <c r="K26" i="4" s="1"/>
  <c r="O26" i="4" s="1"/>
  <c r="J2" i="4"/>
  <c r="K2" i="4" s="1"/>
  <c r="O2" i="4" s="1"/>
  <c r="N3" i="4"/>
  <c r="N4" i="4"/>
  <c r="N2" i="4"/>
  <c r="J4" i="3"/>
  <c r="N4" i="3" s="1"/>
  <c r="J5" i="3"/>
  <c r="N5" i="3" s="1"/>
  <c r="J6" i="3"/>
  <c r="N6" i="3" s="1"/>
  <c r="J7" i="3"/>
  <c r="N7" i="3" s="1"/>
  <c r="J8" i="3"/>
  <c r="N8" i="3" s="1"/>
  <c r="J9" i="3"/>
  <c r="N9" i="3" s="1"/>
  <c r="O9" i="3" s="1"/>
  <c r="J10" i="3"/>
  <c r="N10" i="3" s="1"/>
  <c r="J11" i="3"/>
  <c r="N11" i="3" s="1"/>
  <c r="O11" i="3" s="1"/>
  <c r="M4" i="3"/>
  <c r="M5" i="3"/>
  <c r="M6" i="3"/>
  <c r="M7" i="3"/>
  <c r="M8" i="3"/>
  <c r="M9" i="3"/>
  <c r="M10" i="3"/>
  <c r="M11" i="3"/>
  <c r="J3" i="3"/>
  <c r="M3" i="3"/>
  <c r="M2" i="3"/>
  <c r="J2" i="3"/>
  <c r="N2" i="3" s="1"/>
  <c r="H3" i="2"/>
  <c r="L3" i="2" s="1"/>
  <c r="N3" i="2" s="1"/>
  <c r="H4" i="2"/>
  <c r="H5" i="2"/>
  <c r="H2" i="2"/>
  <c r="L2" i="2" s="1"/>
  <c r="N2" i="2" s="1"/>
  <c r="L4" i="2"/>
  <c r="L5" i="2"/>
  <c r="H24" i="1"/>
  <c r="L24" i="1" s="1"/>
  <c r="H23" i="1"/>
  <c r="L23" i="1" s="1"/>
  <c r="H22" i="1"/>
  <c r="L22" i="1"/>
  <c r="K24" i="1"/>
  <c r="K5" i="2"/>
  <c r="K4" i="2"/>
  <c r="K3" i="2"/>
  <c r="K2" i="2"/>
  <c r="K23" i="1"/>
  <c r="K22" i="1"/>
  <c r="H21" i="1"/>
  <c r="L21" i="1" s="1"/>
  <c r="K21" i="1"/>
  <c r="L15" i="1"/>
  <c r="M15" i="1" s="1"/>
  <c r="L19" i="1"/>
  <c r="L20" i="1"/>
  <c r="M8" i="1"/>
  <c r="H20" i="1"/>
  <c r="H19" i="1"/>
  <c r="H18" i="1"/>
  <c r="L18" i="1" s="1"/>
  <c r="M18" i="1" s="1"/>
  <c r="H17" i="1"/>
  <c r="L17" i="1" s="1"/>
  <c r="M17" i="1" s="1"/>
  <c r="H16" i="1"/>
  <c r="L16" i="1" s="1"/>
  <c r="M16" i="1" s="1"/>
  <c r="H14" i="1"/>
  <c r="L14" i="1" s="1"/>
  <c r="M14" i="1" s="1"/>
  <c r="H13" i="1"/>
  <c r="L13" i="1" s="1"/>
  <c r="M13" i="1" s="1"/>
  <c r="H12" i="1"/>
  <c r="L12" i="1" s="1"/>
  <c r="M12" i="1" s="1"/>
  <c r="H11" i="1"/>
  <c r="L11" i="1" s="1"/>
  <c r="H10" i="1"/>
  <c r="L10" i="1" s="1"/>
  <c r="M10" i="1" s="1"/>
  <c r="K20" i="1"/>
  <c r="K19" i="1"/>
  <c r="K18" i="1"/>
  <c r="K17" i="1"/>
  <c r="K16" i="1"/>
  <c r="K15" i="1"/>
  <c r="K14" i="1"/>
  <c r="K13" i="1"/>
  <c r="K12" i="1"/>
  <c r="K11" i="1"/>
  <c r="K10" i="1"/>
  <c r="H8" i="1"/>
  <c r="L8" i="1" s="1"/>
  <c r="H7" i="1"/>
  <c r="K9" i="1"/>
  <c r="L9" i="1" s="1"/>
  <c r="K8" i="1"/>
  <c r="H3" i="1"/>
  <c r="L3" i="1" s="1"/>
  <c r="H4" i="1"/>
  <c r="L4" i="1" s="1"/>
  <c r="H5" i="1"/>
  <c r="L5" i="1" s="1"/>
  <c r="M5" i="1" s="1"/>
  <c r="H6" i="1"/>
  <c r="L6" i="1" s="1"/>
  <c r="M6" i="1" s="1"/>
  <c r="H2" i="1"/>
  <c r="L2" i="1" s="1"/>
  <c r="K7" i="1"/>
  <c r="K6" i="1"/>
  <c r="K5" i="1"/>
  <c r="K4" i="1"/>
  <c r="K3" i="1"/>
  <c r="K2" i="1"/>
  <c r="R41" i="4" l="1"/>
  <c r="P27" i="4"/>
  <c r="Q27" i="4" s="1"/>
  <c r="P29" i="4"/>
  <c r="Q29" i="4" s="1"/>
  <c r="O12" i="3"/>
  <c r="P12" i="3"/>
  <c r="N3" i="3"/>
  <c r="O3" i="3" s="1"/>
  <c r="P3" i="3" s="1"/>
  <c r="N4" i="2"/>
  <c r="N5" i="2" s="1"/>
  <c r="N6" i="2" s="1"/>
  <c r="N7" i="2" s="1"/>
  <c r="N8" i="2" s="1"/>
  <c r="N9" i="2" s="1"/>
  <c r="N10" i="2" s="1"/>
  <c r="N11" i="2" s="1"/>
  <c r="N12" i="2" s="1"/>
  <c r="O9" i="5"/>
  <c r="P9" i="5" s="1"/>
  <c r="O22" i="5"/>
  <c r="P22" i="5" s="1"/>
  <c r="O21" i="5"/>
  <c r="P21" i="5" s="1"/>
  <c r="P35" i="5"/>
  <c r="P11" i="5"/>
  <c r="P30" i="5"/>
  <c r="P18" i="5"/>
  <c r="P6" i="5"/>
  <c r="P26" i="4"/>
  <c r="Q26" i="4" s="1"/>
  <c r="P23" i="4"/>
  <c r="Q23" i="4" s="1"/>
  <c r="P24" i="4"/>
  <c r="Q24" i="4" s="1"/>
  <c r="P13" i="4"/>
  <c r="Q13" i="4" s="1"/>
  <c r="P12" i="4"/>
  <c r="Q12" i="4"/>
  <c r="P21" i="4"/>
  <c r="Q21" i="4"/>
  <c r="P19" i="4"/>
  <c r="Q19" i="4" s="1"/>
  <c r="P18" i="4"/>
  <c r="Q18" i="4" s="1"/>
  <c r="P22" i="4"/>
  <c r="Q22" i="4" s="1"/>
  <c r="P9" i="4"/>
  <c r="Q9" i="4"/>
  <c r="P8" i="4"/>
  <c r="Q8" i="4"/>
  <c r="P5" i="4"/>
  <c r="Q5" i="4" s="1"/>
  <c r="P25" i="4"/>
  <c r="Q25" i="4"/>
  <c r="P11" i="4"/>
  <c r="Q11" i="4"/>
  <c r="P20" i="4"/>
  <c r="Q20" i="4"/>
  <c r="P17" i="4"/>
  <c r="Q17" i="4" s="1"/>
  <c r="P16" i="4"/>
  <c r="Q16" i="4" s="1"/>
  <c r="P14" i="4"/>
  <c r="Q14" i="4"/>
  <c r="P10" i="4"/>
  <c r="Q10" i="4"/>
  <c r="P6" i="4"/>
  <c r="Q6" i="4" s="1"/>
  <c r="P15" i="4"/>
  <c r="Q15" i="4"/>
  <c r="P3" i="4"/>
  <c r="Q3" i="4" s="1"/>
  <c r="O7" i="3"/>
  <c r="P7" i="3" s="1"/>
  <c r="O6" i="3"/>
  <c r="P6" i="3" s="1"/>
  <c r="O4" i="3"/>
  <c r="P4" i="3" s="1"/>
  <c r="O15" i="5"/>
  <c r="P15" i="5" s="1"/>
  <c r="O27" i="5"/>
  <c r="P27" i="5" s="1"/>
  <c r="O8" i="5"/>
  <c r="P8" i="5" s="1"/>
  <c r="O31" i="5"/>
  <c r="P31" i="5" s="1"/>
  <c r="O38" i="5"/>
  <c r="P38" i="5" s="1"/>
  <c r="O32" i="5"/>
  <c r="P32" i="5" s="1"/>
  <c r="O7" i="5"/>
  <c r="P7" i="5" s="1"/>
  <c r="O29" i="5"/>
  <c r="P29" i="5" s="1"/>
  <c r="O17" i="5"/>
  <c r="P17" i="5" s="1"/>
  <c r="O33" i="5"/>
  <c r="P33" i="5"/>
  <c r="O20" i="5"/>
  <c r="P20" i="5" s="1"/>
  <c r="O19" i="5"/>
  <c r="P19" i="5" s="1"/>
  <c r="O28" i="5"/>
  <c r="P28" i="5" s="1"/>
  <c r="O16" i="5"/>
  <c r="P16" i="5"/>
  <c r="O4" i="5"/>
  <c r="P4" i="5" s="1"/>
  <c r="P23" i="5"/>
  <c r="O39" i="5"/>
  <c r="P39" i="5" s="1"/>
  <c r="P40" i="5"/>
  <c r="O26" i="5"/>
  <c r="P26" i="5" s="1"/>
  <c r="O14" i="5"/>
  <c r="P14" i="5" s="1"/>
  <c r="O37" i="5"/>
  <c r="P37" i="5" s="1"/>
  <c r="O25" i="5"/>
  <c r="P25" i="5" s="1"/>
  <c r="O13" i="5"/>
  <c r="P13" i="5" s="1"/>
  <c r="O24" i="5"/>
  <c r="P24" i="5" s="1"/>
  <c r="O3" i="5"/>
  <c r="P3" i="5" s="1"/>
  <c r="O2" i="5"/>
  <c r="P2" i="5" s="1"/>
  <c r="Q2" i="5" s="1"/>
  <c r="P2" i="4"/>
  <c r="Q2" i="4" s="1"/>
  <c r="R2" i="4" s="1"/>
  <c r="P4" i="4"/>
  <c r="Q4" i="4" s="1"/>
  <c r="O10" i="3"/>
  <c r="P10" i="3" s="1"/>
  <c r="O8" i="3"/>
  <c r="P8" i="3"/>
  <c r="O5" i="3"/>
  <c r="P5" i="3" s="1"/>
  <c r="P11" i="3"/>
  <c r="P9" i="3"/>
  <c r="O2" i="3"/>
  <c r="Q2" i="3" s="1"/>
  <c r="Q3" i="3" s="1"/>
  <c r="L7" i="1"/>
  <c r="M7" i="1" s="1"/>
  <c r="M3" i="1"/>
  <c r="M2" i="1"/>
  <c r="N2" i="1" s="1"/>
  <c r="P2" i="3" l="1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3" i="5"/>
  <c r="Q4" i="5" s="1"/>
  <c r="Q5" i="5" s="1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Q9" i="1" l="1"/>
  <c r="N27" i="1"/>
  <c r="N28" i="1" s="1"/>
</calcChain>
</file>

<file path=xl/sharedStrings.xml><?xml version="1.0" encoding="utf-8"?>
<sst xmlns="http://schemas.openxmlformats.org/spreadsheetml/2006/main" count="486" uniqueCount="394">
  <si>
    <t>#</t>
  </si>
  <si>
    <t>Data</t>
  </si>
  <si>
    <t>Home</t>
  </si>
  <si>
    <t>Away</t>
  </si>
  <si>
    <t>GH</t>
  </si>
  <si>
    <t>GA</t>
  </si>
  <si>
    <t>R</t>
  </si>
  <si>
    <t>ODD</t>
  </si>
  <si>
    <t>BET</t>
  </si>
  <si>
    <t>RESP</t>
  </si>
  <si>
    <t>RESULT</t>
  </si>
  <si>
    <t>RD</t>
  </si>
  <si>
    <t>ACC</t>
  </si>
  <si>
    <t>Yeovil Town</t>
  </si>
  <si>
    <t>Sutton United</t>
  </si>
  <si>
    <t>Real Madrid</t>
  </si>
  <si>
    <t>Benfica</t>
  </si>
  <si>
    <t>Grêmio</t>
  </si>
  <si>
    <t>Atlético MG</t>
  </si>
  <si>
    <t>Celta de Vigo</t>
  </si>
  <si>
    <t>PAOK</t>
  </si>
  <si>
    <t>Flamengo</t>
  </si>
  <si>
    <t>Lanus</t>
  </si>
  <si>
    <t>Albacete</t>
  </si>
  <si>
    <t>Almeria</t>
  </si>
  <si>
    <t>Wolves</t>
  </si>
  <si>
    <t>Aston Villa</t>
  </si>
  <si>
    <t>Sampdoria</t>
  </si>
  <si>
    <t>Bari</t>
  </si>
  <si>
    <t xml:space="preserve">AVS </t>
  </si>
  <si>
    <t>Club Football Estrela</t>
  </si>
  <si>
    <t>Sport Huancayo</t>
  </si>
  <si>
    <t>Sporting Cristal</t>
  </si>
  <si>
    <t>Foggia</t>
  </si>
  <si>
    <t>Casarano Calcio</t>
  </si>
  <si>
    <t>Monaco</t>
  </si>
  <si>
    <t>Angers</t>
  </si>
  <si>
    <t>CA Agropecuario</t>
  </si>
  <si>
    <t>Nueva Chicago</t>
  </si>
  <si>
    <t>AEK Larnaca</t>
  </si>
  <si>
    <t>Olympiakos Nicosia</t>
  </si>
  <si>
    <t>Young Boys</t>
  </si>
  <si>
    <t>FC Zürich</t>
  </si>
  <si>
    <r>
      <t>Midtjylland</t>
    </r>
    <r>
      <rPr>
        <sz val="8"/>
        <color rgb="FFFFFFFF"/>
        <rFont val="Nunito"/>
      </rPr>
      <t> </t>
    </r>
  </si>
  <si>
    <t>Brøndby </t>
  </si>
  <si>
    <r>
      <t>Lorient</t>
    </r>
    <r>
      <rPr>
        <sz val="8"/>
        <color rgb="FFFFFFFF"/>
        <rFont val="Nunito"/>
      </rPr>
      <t> </t>
    </r>
  </si>
  <si>
    <t>AJ Auxerre</t>
  </si>
  <si>
    <t>Lech Poznan</t>
  </si>
  <si>
    <t>Rakow Czestochowa</t>
  </si>
  <si>
    <r>
      <t>Colo-Colo</t>
    </r>
    <r>
      <rPr>
        <sz val="8"/>
        <color rgb="FFFFFFFF"/>
        <rFont val="Nunito"/>
      </rPr>
      <t> </t>
    </r>
  </si>
  <si>
    <t>Universidad de Chile</t>
  </si>
  <si>
    <t>Club Sportivo Luqueño</t>
  </si>
  <si>
    <t>Rubio Ñú</t>
  </si>
  <si>
    <t>NEC</t>
  </si>
  <si>
    <t>PSV Eindhoven</t>
  </si>
  <si>
    <t>Strasbourg</t>
  </si>
  <si>
    <t>Stade Reims</t>
  </si>
  <si>
    <t>Barnsley</t>
  </si>
  <si>
    <t>Wycombe</t>
  </si>
  <si>
    <t>Rotherham United</t>
  </si>
  <si>
    <t>Mansfield Town</t>
  </si>
  <si>
    <r>
      <t>Como</t>
    </r>
    <r>
      <rPr>
        <sz val="8"/>
        <color rgb="FFFFFFFF"/>
        <rFont val="Nunito"/>
      </rPr>
      <t> </t>
    </r>
  </si>
  <si>
    <t>Internazionale</t>
  </si>
  <si>
    <t>Wolverhampton</t>
  </si>
  <si>
    <t>Sporting CP</t>
  </si>
  <si>
    <t>FC Porto</t>
  </si>
  <si>
    <t>Liverpool</t>
  </si>
  <si>
    <t>-</t>
  </si>
  <si>
    <t>Pusamania Borneo FC</t>
  </si>
  <si>
    <t>Arema Cronus</t>
  </si>
  <si>
    <t>Al-Fateh (KSA)</t>
  </si>
  <si>
    <t>Dhamk</t>
  </si>
  <si>
    <t>Total</t>
  </si>
  <si>
    <t>Namdhari Sports Academy</t>
  </si>
  <si>
    <t>Aizawl FC</t>
  </si>
  <si>
    <t>Lyngby</t>
  </si>
  <si>
    <t>Kolding IF</t>
  </si>
  <si>
    <t>Queretaro</t>
  </si>
  <si>
    <t>Santos Laguna</t>
  </si>
  <si>
    <t>G-Osaka</t>
  </si>
  <si>
    <t>Shimizu</t>
  </si>
  <si>
    <t>Bournemouth</t>
  </si>
  <si>
    <t>Sunderland</t>
  </si>
  <si>
    <t>Daejeon Citizen</t>
  </si>
  <si>
    <t>FC Anyang</t>
  </si>
  <si>
    <t>1860 Munich</t>
  </si>
  <si>
    <t>Erzgebirge</t>
  </si>
  <si>
    <t>Pachuca</t>
  </si>
  <si>
    <t>Necaxa</t>
  </si>
  <si>
    <t>Namungo FC</t>
  </si>
  <si>
    <t>Singida Black Stars SC</t>
  </si>
  <si>
    <t>Portuguesa SP</t>
  </si>
  <si>
    <t>Altos</t>
  </si>
  <si>
    <t>Araz Nakhchivan PFK</t>
  </si>
  <si>
    <t>Zira</t>
  </si>
  <si>
    <t>NRB Teleghma</t>
  </si>
  <si>
    <t>IB Khemis El Khechna</t>
  </si>
  <si>
    <t>Trabzonspor</t>
  </si>
  <si>
    <t>Fatih Karagumruk Istanbul</t>
  </si>
  <si>
    <t>Once Caldas</t>
  </si>
  <si>
    <t>Boyaca Chico</t>
  </si>
  <si>
    <t>Como</t>
  </si>
  <si>
    <t>Lecce</t>
  </si>
  <si>
    <t>Verona</t>
  </si>
  <si>
    <t>Napoli</t>
  </si>
  <si>
    <t>Inter</t>
  </si>
  <si>
    <t>Genoa</t>
  </si>
  <si>
    <t>Leonesa</t>
  </si>
  <si>
    <t>Las Palmas</t>
  </si>
  <si>
    <t>ENPPI</t>
  </si>
  <si>
    <t>Al-Masry</t>
  </si>
  <si>
    <t>Newells</t>
  </si>
  <si>
    <t>Rosario Central</t>
  </si>
  <si>
    <t>America MG</t>
  </si>
  <si>
    <t>Atletico MG</t>
  </si>
  <si>
    <t>Fuerte San Francisco</t>
  </si>
  <si>
    <t>AD Isidro Metapan</t>
  </si>
  <si>
    <t>Deportivo San Pedro</t>
  </si>
  <si>
    <t>Quiche FC</t>
  </si>
  <si>
    <t>HUSA Agadir</t>
  </si>
  <si>
    <t>Raja Casablanca</t>
  </si>
  <si>
    <t>Ludogorets</t>
  </si>
  <si>
    <t>Lokomotiv Plovdiv</t>
  </si>
  <si>
    <t>Pisa</t>
  </si>
  <si>
    <t>Bologna</t>
  </si>
  <si>
    <t>Zeljeznicar</t>
  </si>
  <si>
    <t>Zrinjski</t>
  </si>
  <si>
    <t>Getafe</t>
  </si>
  <si>
    <t>Independiente Rivadavia</t>
  </si>
  <si>
    <t>River Plate</t>
  </si>
  <si>
    <t>Gangwon</t>
  </si>
  <si>
    <t>FC Machida</t>
  </si>
  <si>
    <t>Reggiana</t>
  </si>
  <si>
    <t>Sudtirol</t>
  </si>
  <si>
    <t>Atl Tucuman</t>
  </si>
  <si>
    <t>Racing Club</t>
  </si>
  <si>
    <t>T</t>
  </si>
  <si>
    <t>Panathinaikos</t>
  </si>
  <si>
    <t>OFI</t>
  </si>
  <si>
    <t>Polokwane City</t>
  </si>
  <si>
    <t>Orlando Pirates (SA)</t>
  </si>
  <si>
    <t>SE Palmeiras</t>
  </si>
  <si>
    <t>Novorizontino</t>
  </si>
  <si>
    <r>
      <t>SC Telstar</t>
    </r>
    <r>
      <rPr>
        <sz val="8"/>
        <color rgb="FFFFFFFF"/>
        <rFont val="Nunito"/>
      </rPr>
      <t> </t>
    </r>
  </si>
  <si>
    <t>AZ Alkmaar</t>
  </si>
  <si>
    <t>Fulham</t>
  </si>
  <si>
    <t>West Ham</t>
  </si>
  <si>
    <t>Livorno</t>
  </si>
  <si>
    <t>Perugia</t>
  </si>
  <si>
    <t>FC Luzern</t>
  </si>
  <si>
    <t>BSC Young Boys</t>
  </si>
  <si>
    <t>Hamburger SV</t>
  </si>
  <si>
    <t>Bayer 04 Leverkusen</t>
  </si>
  <si>
    <t>FC Lorient</t>
  </si>
  <si>
    <t>OGC Nice</t>
  </si>
  <si>
    <t>Lazio</t>
  </si>
  <si>
    <t>Atalanta</t>
  </si>
  <si>
    <t>Persita Tangerang</t>
  </si>
  <si>
    <t>Dewa United FC</t>
  </si>
  <si>
    <t>Crvena Zvezda</t>
  </si>
  <si>
    <t>Lille</t>
  </si>
  <si>
    <t>El Entag El Harby</t>
  </si>
  <si>
    <t>El Seka Elhadeed</t>
  </si>
  <si>
    <t>Deportivo Recoleta</t>
  </si>
  <si>
    <t>Nacional (Par)</t>
  </si>
  <si>
    <t>Hermannstadt</t>
  </si>
  <si>
    <t>Botosani</t>
  </si>
  <si>
    <t>Dynamo Dresden</t>
  </si>
  <si>
    <t>SV Darmstadt</t>
  </si>
  <si>
    <t>Clermont</t>
  </si>
  <si>
    <t>Dunkerque</t>
  </si>
  <si>
    <t>Montpellier</t>
  </si>
  <si>
    <t>Reims</t>
  </si>
  <si>
    <t>Arka Gdynia</t>
  </si>
  <si>
    <t>Lechia Gdansk</t>
  </si>
  <si>
    <t>Cerro</t>
  </si>
  <si>
    <t>Boston River</t>
  </si>
  <si>
    <t>Kaiserslautern</t>
  </si>
  <si>
    <t>Paderborn</t>
  </si>
  <si>
    <t>Holstein Kiel</t>
  </si>
  <si>
    <t>Elversberg</t>
  </si>
  <si>
    <t>Albion FC</t>
  </si>
  <si>
    <t>Racing Club (Uru)</t>
  </si>
  <si>
    <t>Kaizer Chiefs</t>
  </si>
  <si>
    <t>Barrow</t>
  </si>
  <si>
    <t>Gillingham</t>
  </si>
  <si>
    <t>Wigan</t>
  </si>
  <si>
    <t>Huddersfield</t>
  </si>
  <si>
    <t>Oxford Utd</t>
  </si>
  <si>
    <t>West Brom</t>
  </si>
  <si>
    <t>Charlton</t>
  </si>
  <si>
    <t>Wrexham</t>
  </si>
  <si>
    <t>QPR</t>
  </si>
  <si>
    <t>Sheff Utd</t>
  </si>
  <si>
    <t>Preston</t>
  </si>
  <si>
    <t>Millwall</t>
  </si>
  <si>
    <t>Antwerp</t>
  </si>
  <si>
    <t>Sint Truiden</t>
  </si>
  <si>
    <t>Kifisia</t>
  </si>
  <si>
    <t>Levadiakos</t>
  </si>
  <si>
    <t>Ismaily</t>
  </si>
  <si>
    <t>El Gounah</t>
  </si>
  <si>
    <t>Club Sportivo Ameliano</t>
  </si>
  <si>
    <t>Olimpia</t>
  </si>
  <si>
    <t>Club 2 de Mayo de Pedro Jua</t>
  </si>
  <si>
    <t>Sportivo Trinidense</t>
  </si>
  <si>
    <t>Grazer AK</t>
  </si>
  <si>
    <t>SV Ried</t>
  </si>
  <si>
    <t>Mushuc Runa</t>
  </si>
  <si>
    <t>Univ Catolica (Ecu)</t>
  </si>
  <si>
    <t>Nublense</t>
  </si>
  <si>
    <t>Univ Catolica (Chile)</t>
  </si>
  <si>
    <t>Tolima</t>
  </si>
  <si>
    <t>Atletico Nacional Medellin</t>
  </si>
  <si>
    <t>Udinese</t>
  </si>
  <si>
    <t>Fiorentina</t>
  </si>
  <si>
    <t>Pergolettese</t>
  </si>
  <si>
    <t>Pro Vercelli</t>
  </si>
  <si>
    <t>GKS Katowice</t>
  </si>
  <si>
    <t>Widzew Lodz</t>
  </si>
  <si>
    <t>Hamilton</t>
  </si>
  <si>
    <t>Stenhousemuir</t>
  </si>
  <si>
    <t>SS Virtus Verona 1921</t>
  </si>
  <si>
    <t>Novara</t>
  </si>
  <si>
    <t>FC Seoul</t>
  </si>
  <si>
    <t>Kobe</t>
  </si>
  <si>
    <t>SSD Bari</t>
  </si>
  <si>
    <t>Empoli</t>
  </si>
  <si>
    <t>Chelsea</t>
  </si>
  <si>
    <t>Quess East Bengal</t>
  </si>
  <si>
    <t>FC Goa</t>
  </si>
  <si>
    <t>Metalist 1925</t>
  </si>
  <si>
    <t>Lokomotiv Kiev</t>
  </si>
  <si>
    <t>Real Santander</t>
  </si>
  <si>
    <t>Quindio</t>
  </si>
  <si>
    <t>Potenza</t>
  </si>
  <si>
    <t>Cosenza</t>
  </si>
  <si>
    <t>Lyon</t>
  </si>
  <si>
    <t>Lens</t>
  </si>
  <si>
    <t>Entradas</t>
  </si>
  <si>
    <t>Acertos</t>
  </si>
  <si>
    <t>Odd Média</t>
  </si>
  <si>
    <t>Yield</t>
  </si>
  <si>
    <t>Lucro</t>
  </si>
  <si>
    <t>Aliaga Futbol AS</t>
  </si>
  <si>
    <t>Gençlerbirligi SK</t>
  </si>
  <si>
    <t>FC Thun</t>
  </si>
  <si>
    <r>
      <t>FC St. Gallen</t>
    </r>
    <r>
      <rPr>
        <sz val="8"/>
        <color rgb="FFFFFFFF"/>
        <rFont val="Nunito"/>
      </rPr>
      <t> </t>
    </r>
  </si>
  <si>
    <t>CA Boston Rive</t>
  </si>
  <si>
    <t>Racing Club de Montevideo</t>
  </si>
  <si>
    <t>Falkirk</t>
  </si>
  <si>
    <t>Dundee Utd</t>
  </si>
  <si>
    <t>Wadi Degla</t>
  </si>
  <si>
    <t>Stade Briochin</t>
  </si>
  <si>
    <t>Orleans</t>
  </si>
  <si>
    <t>SV Elversberg</t>
  </si>
  <si>
    <t> FC Magdeburg</t>
  </si>
  <si>
    <t>HB Køge</t>
  </si>
  <si>
    <t>Esbjerg fB</t>
  </si>
  <si>
    <t>Pendikspor</t>
  </si>
  <si>
    <t>Van Buyuksehir Belediyespor</t>
  </si>
  <si>
    <t>Al-Khaleej Saihat</t>
  </si>
  <si>
    <t>Al-Hazm (KSA)</t>
  </si>
  <si>
    <t>Dukla Banska Bystrica</t>
  </si>
  <si>
    <t>MSK Povazska Bystrica</t>
  </si>
  <si>
    <t>Bourg-en-Bresse</t>
  </si>
  <si>
    <t>Rouen</t>
  </si>
  <si>
    <t>Quevilly Rouen</t>
  </si>
  <si>
    <t>Versailles 78 FC</t>
  </si>
  <si>
    <t>Laval</t>
  </si>
  <si>
    <t>Guingamp</t>
  </si>
  <si>
    <t>Tigres FC Zipaquira</t>
  </si>
  <si>
    <t>Boyaca Patriotas</t>
  </si>
  <si>
    <t>Yacoub El Mansour</t>
  </si>
  <si>
    <t>FUS Rabat</t>
  </si>
  <si>
    <t>Prostejov</t>
  </si>
  <si>
    <t>Zizkov</t>
  </si>
  <si>
    <t>Paris 13 Atletico</t>
  </si>
  <si>
    <t>Le Puy</t>
  </si>
  <si>
    <t>Heracles</t>
  </si>
  <si>
    <t>FC Utrecht</t>
  </si>
  <si>
    <t>Finn Harps</t>
  </si>
  <si>
    <t>Wexford F.C</t>
  </si>
  <si>
    <t>Mazatlan FC</t>
  </si>
  <si>
    <t>Leon</t>
  </si>
  <si>
    <r>
      <t>Paris Saint-Germain</t>
    </r>
    <r>
      <rPr>
        <sz val="8"/>
        <color rgb="FFFFFFFF"/>
        <rFont val="Nunito"/>
      </rPr>
      <t> </t>
    </r>
  </si>
  <si>
    <t>AS Monaco</t>
  </si>
  <si>
    <t>Cheltenham Town</t>
  </si>
  <si>
    <t>Wolverhampton Wanderers</t>
  </si>
  <si>
    <r>
      <t>Liverpool</t>
    </r>
    <r>
      <rPr>
        <sz val="8"/>
        <color rgb="FFFFFFFF"/>
        <rFont val="Nunito"/>
      </rPr>
      <t> </t>
    </r>
  </si>
  <si>
    <t>Hora</t>
  </si>
  <si>
    <t>Liga</t>
  </si>
  <si>
    <t>German Bundesliga 2</t>
  </si>
  <si>
    <t>English Sky Bet League 1</t>
  </si>
  <si>
    <t>Plymouth</t>
  </si>
  <si>
    <t>Doncaster</t>
  </si>
  <si>
    <t>English Sky Bet League 2</t>
  </si>
  <si>
    <t>Chesterfield</t>
  </si>
  <si>
    <t>Shrewsbury</t>
  </si>
  <si>
    <t>Bolton</t>
  </si>
  <si>
    <t>Italian Serie B</t>
  </si>
  <si>
    <t>Modena</t>
  </si>
  <si>
    <t>Cesena</t>
  </si>
  <si>
    <t>Bochum</t>
  </si>
  <si>
    <t>Peruvian Primera Division</t>
  </si>
  <si>
    <t>Cusco FC</t>
  </si>
  <si>
    <t>Deportivo Garcilaso</t>
  </si>
  <si>
    <t>Japanese J. League 100 Year Vision</t>
  </si>
  <si>
    <t>Fukuoka</t>
  </si>
  <si>
    <t>Nagoya</t>
  </si>
  <si>
    <t>Algerian Ligue 1</t>
  </si>
  <si>
    <t>ES Mostaganem</t>
  </si>
  <si>
    <t>MC Alger</t>
  </si>
  <si>
    <t>Cypriot 1st Division</t>
  </si>
  <si>
    <t>Pafos FC</t>
  </si>
  <si>
    <t>Digenis Ypsona</t>
  </si>
  <si>
    <t>English Sky Bet Championship</t>
  </si>
  <si>
    <t>Hull</t>
  </si>
  <si>
    <t>Walsall</t>
  </si>
  <si>
    <t>Notts Co</t>
  </si>
  <si>
    <t>Spanish La Liga</t>
  </si>
  <si>
    <t>Levante</t>
  </si>
  <si>
    <t>Girona</t>
  </si>
  <si>
    <t>Bulgarian A League</t>
  </si>
  <si>
    <t>Botev Vratsa</t>
  </si>
  <si>
    <t>Arda</t>
  </si>
  <si>
    <t>Irish Premier Division</t>
  </si>
  <si>
    <t>Sligo Rovers</t>
  </si>
  <si>
    <t>Drogheda</t>
  </si>
  <si>
    <t>French Ligue 1</t>
  </si>
  <si>
    <t>Toulouse</t>
  </si>
  <si>
    <t>Marseille</t>
  </si>
  <si>
    <t> FC Nürnberg</t>
  </si>
  <si>
    <t>Fortuna Düsseldorf</t>
  </si>
  <si>
    <t>Huddersfield Town</t>
  </si>
  <si>
    <t>Cardiff City</t>
  </si>
  <si>
    <r>
      <t>Lincoln City</t>
    </r>
    <r>
      <rPr>
        <sz val="8"/>
        <color rgb="FFFFFFFF"/>
        <rFont val="Nunito"/>
      </rPr>
      <t> </t>
    </r>
  </si>
  <si>
    <t>Osasuna</t>
  </si>
  <si>
    <t>Real Mallorca</t>
  </si>
  <si>
    <t>FK Teplice</t>
  </si>
  <si>
    <t>FK Dukla Praha</t>
  </si>
  <si>
    <t>FC Nantes</t>
  </si>
  <si>
    <t>Angers SCO</t>
  </si>
  <si>
    <t>Hamarkameratene</t>
  </si>
  <si>
    <t>Lillestrøm SK</t>
  </si>
  <si>
    <t>Red Star FC 93</t>
  </si>
  <si>
    <t>Saint-Étienne</t>
  </si>
  <si>
    <t>Belgian Pro League</t>
  </si>
  <si>
    <t>Gent</t>
  </si>
  <si>
    <t>Yellow-Red Mechelen</t>
  </si>
  <si>
    <t>Zulte-Waregem</t>
  </si>
  <si>
    <t>Standard</t>
  </si>
  <si>
    <t>Brazilian Gaucho Matches</t>
  </si>
  <si>
    <t>Internacional</t>
  </si>
  <si>
    <t>Gremio</t>
  </si>
  <si>
    <t>Mexican Liga de Ascenso</t>
  </si>
  <si>
    <t>CD Tepatitlan De Morelos</t>
  </si>
  <si>
    <t>Mineros de Zacatecas</t>
  </si>
  <si>
    <t>19.5</t>
  </si>
  <si>
    <t>18.5</t>
  </si>
  <si>
    <t>South Korean K2 League</t>
  </si>
  <si>
    <t>Ansan Greeners FC</t>
  </si>
  <si>
    <t>Busan IPark</t>
  </si>
  <si>
    <t>South Korean K3 League</t>
  </si>
  <si>
    <t>Siheung Citizen</t>
  </si>
  <si>
    <t>Yeoju FC</t>
  </si>
  <si>
    <t>Maltese Premier League</t>
  </si>
  <si>
    <t>Valletta</t>
  </si>
  <si>
    <t>Tarxien Rainbows FC</t>
  </si>
  <si>
    <t>Betis</t>
  </si>
  <si>
    <t>1.57</t>
  </si>
  <si>
    <t>1.42</t>
  </si>
  <si>
    <t>1.37</t>
  </si>
  <si>
    <t>1.64</t>
  </si>
  <si>
    <t>Okayama</t>
  </si>
  <si>
    <t>Kyoto</t>
  </si>
  <si>
    <t>South Korean K1 League</t>
  </si>
  <si>
    <t>Gimcheon Sangmu</t>
  </si>
  <si>
    <t>Jeonbuk Motors</t>
  </si>
  <si>
    <t>Japanese J. League 2/3 100 Year Vision</t>
  </si>
  <si>
    <t>FC Gifu</t>
  </si>
  <si>
    <t>Kofu</t>
  </si>
  <si>
    <t>Croatian HNL</t>
  </si>
  <si>
    <t>Hajduk Split</t>
  </si>
  <si>
    <t>Dinamo Zagreb</t>
  </si>
  <si>
    <t>Swiss Super League</t>
  </si>
  <si>
    <t>Grasshoppers Zurich</t>
  </si>
  <si>
    <t>Lausanne</t>
  </si>
  <si>
    <t>3.35</t>
  </si>
  <si>
    <t>3.2</t>
  </si>
  <si>
    <t>2.92</t>
  </si>
  <si>
    <t>3.25</t>
  </si>
  <si>
    <t>2.94</t>
  </si>
  <si>
    <t>Southampton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</si>
</sst>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Nunito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0" fillId="0" borderId="0" xfId="0" applyNumberFormat="1"/>
    <xf numFmtId="44" fontId="0" fillId="0" borderId="0" xfId="1" applyFont="1"/>
    <xf numFmtId="2" fontId="0" fillId="0" borderId="0" xfId="0" applyNumberFormat="1"/>
    <xf numFmtId="44" fontId="0" fillId="0" borderId="0" xfId="0" applyNumberForma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2" borderId="5" xfId="0" applyFill="1" applyBorder="1"/>
    <xf numFmtId="44" fontId="0" fillId="0" borderId="5" xfId="0" applyNumberForma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44" fontId="0" fillId="0" borderId="4" xfId="0" applyNumberFormat="1" applyBorder="1"/>
    <xf numFmtId="9" fontId="0" fillId="0" borderId="0" xfId="2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0" fontId="2" fillId="0" borderId="0" xfId="0" applyFont="1" applyAlignment="1">
      <alignment horizontal="right"/>
    </xf>
    <xf numFmtId="2" fontId="4" fillId="2" borderId="0" xfId="0" applyNumberFormat="1" applyFont="1" applyFill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0" fillId="0" borderId="4" xfId="0" applyBorder="1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2" borderId="5" xfId="0" applyNumberFormat="1" applyFill="1" applyBorder="1"/>
    <xf numFmtId="21" fontId="0" fillId="0" borderId="0" xfId="0" applyNumberFormat="1" applyAlignment="1">
      <alignment vertical="center" wrapText="1"/>
    </xf>
    <xf numFmtId="2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X41"/>
  <sheetViews>
    <sheetView showGridLines="0" tabSelected="1" workbookViewId="0">
      <pane ySplit="1" topLeftCell="A19" activePane="bottomLeft" state="frozen"/>
      <selection pane="bottomLeft" activeCell="O40" sqref="O40"/>
    </sheetView>
  </sheetViews>
  <sheetFormatPr defaultRowHeight="15" x14ac:dyDescent="0.25"/>
  <cols>
    <col min="1" max="1" width="1.42578125" customWidth="1"/>
    <col min="2" max="2" width="3" style="14" bestFit="1" customWidth="1"/>
    <col min="3" max="3" width="10.7109375" bestFit="1" customWidth="1"/>
    <col min="4" max="4" width="26.140625" bestFit="1" customWidth="1"/>
    <col min="5" max="5" width="25.7109375" bestFit="1" customWidth="1"/>
    <col min="6" max="7" width="3.7109375" bestFit="1" customWidth="1"/>
    <col min="8" max="8" width="2.140625" style="14" bestFit="1" customWidth="1"/>
    <col min="9" max="9" width="5.5703125" bestFit="1" customWidth="1"/>
    <col min="10" max="12" width="9.5703125" bestFit="1" customWidth="1"/>
    <col min="13" max="13" width="8.5703125" bestFit="1" customWidth="1"/>
    <col min="14" max="14" width="9.5703125" bestFit="1" customWidth="1"/>
    <col min="17" max="19" width="9.5703125" bestFit="1" customWidth="1"/>
  </cols>
  <sheetData>
    <row r="1" spans="1:24" ht="15.75" thickBot="1" x14ac:dyDescent="0.3"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24" ht="15.75" thickTop="1" x14ac:dyDescent="0.25">
      <c r="A2" s="9"/>
      <c r="B2" s="15">
        <v>1</v>
      </c>
      <c r="C2" s="5">
        <v>46078</v>
      </c>
      <c r="D2" s="5" t="s">
        <v>13</v>
      </c>
      <c r="E2" s="10" t="s">
        <v>14</v>
      </c>
      <c r="F2" s="14">
        <v>3</v>
      </c>
      <c r="G2" s="14">
        <v>2</v>
      </c>
      <c r="H2" s="15">
        <f>IF(G2&lt;&gt;F2,1,0)</f>
        <v>1</v>
      </c>
      <c r="I2">
        <v>3.72</v>
      </c>
      <c r="J2" s="6">
        <v>1</v>
      </c>
      <c r="K2" s="6">
        <f t="shared" ref="K2:K40" si="0">J2*(I2-1)</f>
        <v>2.72</v>
      </c>
      <c r="L2" s="6">
        <f>IF(H2=1,J2,-K2)</f>
        <v>1</v>
      </c>
      <c r="M2" s="8">
        <f>IF(L2&lt;0,0,J2/100)*4.4</f>
        <v>4.4000000000000004E-2</v>
      </c>
      <c r="N2" s="13">
        <f>10+L2-M2</f>
        <v>10.956</v>
      </c>
      <c r="Q2" s="14"/>
    </row>
    <row r="3" spans="1:24" x14ac:dyDescent="0.25">
      <c r="A3" s="9"/>
      <c r="B3" s="16">
        <v>2</v>
      </c>
      <c r="C3" s="5">
        <v>46078</v>
      </c>
      <c r="D3" s="5" t="s">
        <v>15</v>
      </c>
      <c r="E3" s="11" t="s">
        <v>16</v>
      </c>
      <c r="F3" s="14">
        <v>2</v>
      </c>
      <c r="G3" s="14">
        <v>1</v>
      </c>
      <c r="H3" s="16">
        <f t="shared" ref="H3:H40" si="1">IF(G3&lt;&gt;F3,1,0)</f>
        <v>1</v>
      </c>
      <c r="I3">
        <v>3.05</v>
      </c>
      <c r="J3" s="6">
        <v>1</v>
      </c>
      <c r="K3" s="6">
        <f t="shared" si="0"/>
        <v>2.0499999999999998</v>
      </c>
      <c r="L3" s="6">
        <f t="shared" ref="L3:L40" si="2">IF(H3=1,J3,-K3)</f>
        <v>1</v>
      </c>
      <c r="M3" s="8">
        <f t="shared" ref="M3:M33" si="3">IF(L3&lt;0,0,J3/100)*4.4</f>
        <v>4.4000000000000004E-2</v>
      </c>
      <c r="N3" s="13">
        <f>L3+N2-M3</f>
        <v>11.911999999999999</v>
      </c>
      <c r="P3" s="28" t="s">
        <v>239</v>
      </c>
      <c r="Q3" s="14">
        <f>COUNTA(B2:B40)</f>
        <v>39</v>
      </c>
    </row>
    <row r="4" spans="1:24" x14ac:dyDescent="0.25">
      <c r="A4" s="9"/>
      <c r="B4" s="16">
        <v>3</v>
      </c>
      <c r="C4" s="5">
        <v>46078</v>
      </c>
      <c r="D4" t="s">
        <v>17</v>
      </c>
      <c r="E4" s="9" t="s">
        <v>18</v>
      </c>
      <c r="F4" s="14">
        <v>2</v>
      </c>
      <c r="G4" s="14">
        <v>1</v>
      </c>
      <c r="H4" s="16">
        <f t="shared" si="1"/>
        <v>1</v>
      </c>
      <c r="I4" s="7">
        <v>2.7</v>
      </c>
      <c r="J4" s="6">
        <v>1</v>
      </c>
      <c r="K4" s="6">
        <f t="shared" si="0"/>
        <v>1.7000000000000002</v>
      </c>
      <c r="L4" s="6">
        <f t="shared" si="2"/>
        <v>1</v>
      </c>
      <c r="M4" s="8">
        <v>0.05</v>
      </c>
      <c r="N4" s="13">
        <f t="shared" ref="N4:N27" si="4">L4+N3-M4</f>
        <v>12.861999999999998</v>
      </c>
      <c r="P4" s="28" t="s">
        <v>240</v>
      </c>
      <c r="Q4" s="14">
        <f>COUNTIF(H2:H40,1)</f>
        <v>30</v>
      </c>
    </row>
    <row r="5" spans="1:24" x14ac:dyDescent="0.25">
      <c r="A5" s="9"/>
      <c r="B5" s="16">
        <v>4</v>
      </c>
      <c r="C5" s="5">
        <v>46079</v>
      </c>
      <c r="D5" t="s">
        <v>19</v>
      </c>
      <c r="E5" s="9" t="s">
        <v>20</v>
      </c>
      <c r="F5" s="14">
        <v>1</v>
      </c>
      <c r="G5" s="14">
        <v>0</v>
      </c>
      <c r="H5" s="16">
        <f t="shared" si="1"/>
        <v>1</v>
      </c>
      <c r="I5">
        <v>2.68</v>
      </c>
      <c r="J5" s="6">
        <v>1</v>
      </c>
      <c r="K5" s="6">
        <f t="shared" si="0"/>
        <v>1.6800000000000002</v>
      </c>
      <c r="L5" s="6">
        <f t="shared" si="2"/>
        <v>1</v>
      </c>
      <c r="M5" s="8">
        <f t="shared" si="3"/>
        <v>4.4000000000000004E-2</v>
      </c>
      <c r="N5" s="13">
        <f t="shared" si="4"/>
        <v>13.817999999999998</v>
      </c>
      <c r="P5" s="28" t="s">
        <v>12</v>
      </c>
      <c r="Q5" s="27">
        <f>Q4/Q3</f>
        <v>0.76923076923076927</v>
      </c>
    </row>
    <row r="6" spans="1:24" x14ac:dyDescent="0.25">
      <c r="A6" s="9"/>
      <c r="B6" s="16">
        <v>5</v>
      </c>
      <c r="C6" s="5">
        <v>46079</v>
      </c>
      <c r="D6" t="s">
        <v>21</v>
      </c>
      <c r="E6" s="9" t="s">
        <v>22</v>
      </c>
      <c r="F6" s="14">
        <v>2</v>
      </c>
      <c r="G6" s="14">
        <v>1</v>
      </c>
      <c r="H6" s="16">
        <f t="shared" si="1"/>
        <v>1</v>
      </c>
      <c r="I6">
        <v>2.98</v>
      </c>
      <c r="J6" s="6">
        <v>1</v>
      </c>
      <c r="K6" s="6">
        <f t="shared" si="0"/>
        <v>1.98</v>
      </c>
      <c r="L6" s="6">
        <f t="shared" si="2"/>
        <v>1</v>
      </c>
      <c r="M6" s="8">
        <f t="shared" si="3"/>
        <v>4.4000000000000004E-2</v>
      </c>
      <c r="N6" s="13">
        <f t="shared" si="4"/>
        <v>14.773999999999997</v>
      </c>
      <c r="P6" s="28" t="s">
        <v>241</v>
      </c>
      <c r="Q6" s="29">
        <f>AVERAGE(I2:I40)</f>
        <v>2.7330769230769234</v>
      </c>
      <c r="R6" s="27">
        <f>1-(1/Q6)</f>
        <v>0.63411201801294692</v>
      </c>
    </row>
    <row r="7" spans="1:24" x14ac:dyDescent="0.25">
      <c r="A7" s="9"/>
      <c r="B7" s="16">
        <v>6</v>
      </c>
      <c r="C7" s="5">
        <v>45715</v>
      </c>
      <c r="D7" t="s">
        <v>23</v>
      </c>
      <c r="E7" s="9" t="s">
        <v>24</v>
      </c>
      <c r="F7" s="14">
        <v>1</v>
      </c>
      <c r="G7" s="14">
        <v>1</v>
      </c>
      <c r="H7" s="16">
        <f t="shared" si="1"/>
        <v>0</v>
      </c>
      <c r="I7">
        <v>2.68</v>
      </c>
      <c r="J7" s="6">
        <v>1</v>
      </c>
      <c r="K7" s="6">
        <f t="shared" si="0"/>
        <v>1.6800000000000002</v>
      </c>
      <c r="L7" s="6">
        <f t="shared" si="2"/>
        <v>-1.6800000000000002</v>
      </c>
      <c r="M7" s="8">
        <f t="shared" si="3"/>
        <v>0</v>
      </c>
      <c r="N7" s="13">
        <f t="shared" si="4"/>
        <v>13.093999999999998</v>
      </c>
    </row>
    <row r="8" spans="1:24" x14ac:dyDescent="0.25">
      <c r="A8" s="9"/>
      <c r="B8" s="16">
        <v>7</v>
      </c>
      <c r="C8" s="5">
        <v>45715</v>
      </c>
      <c r="D8" t="s">
        <v>25</v>
      </c>
      <c r="E8" s="9" t="s">
        <v>26</v>
      </c>
      <c r="F8" s="14">
        <v>2</v>
      </c>
      <c r="G8" s="14">
        <v>0</v>
      </c>
      <c r="H8" s="16">
        <f t="shared" si="1"/>
        <v>1</v>
      </c>
      <c r="I8" s="7">
        <v>2.72</v>
      </c>
      <c r="J8" s="6">
        <v>1</v>
      </c>
      <c r="K8" s="6">
        <f t="shared" si="0"/>
        <v>1.7200000000000002</v>
      </c>
      <c r="L8" s="6">
        <f t="shared" si="2"/>
        <v>1</v>
      </c>
      <c r="M8" s="8">
        <f>IF(L8&lt;0,0,J8/100)*4.4</f>
        <v>4.4000000000000004E-2</v>
      </c>
      <c r="N8" s="13">
        <f t="shared" si="4"/>
        <v>14.049999999999997</v>
      </c>
      <c r="P8" s="28" t="s">
        <v>243</v>
      </c>
      <c r="Q8" s="8">
        <f>N40</f>
        <v>24.679999999999989</v>
      </c>
    </row>
    <row r="9" spans="1:24" x14ac:dyDescent="0.25">
      <c r="A9" s="9"/>
      <c r="B9" s="16">
        <v>8</v>
      </c>
      <c r="C9" s="5">
        <v>45715</v>
      </c>
      <c r="D9" t="s">
        <v>27</v>
      </c>
      <c r="E9" s="12" t="s">
        <v>28</v>
      </c>
      <c r="F9" s="14">
        <v>0</v>
      </c>
      <c r="G9" s="14">
        <v>2</v>
      </c>
      <c r="H9" s="16">
        <v>0</v>
      </c>
      <c r="I9" s="7">
        <v>2.2999999999999998</v>
      </c>
      <c r="J9" s="6">
        <v>1</v>
      </c>
      <c r="K9" s="6">
        <f t="shared" si="0"/>
        <v>1.2999999999999998</v>
      </c>
      <c r="L9" s="6">
        <f t="shared" si="2"/>
        <v>-1.2999999999999998</v>
      </c>
      <c r="M9" s="8">
        <f>IF(L9&lt;0,0,J9/100)*4.4</f>
        <v>0</v>
      </c>
      <c r="N9" s="13">
        <f t="shared" si="4"/>
        <v>12.749999999999996</v>
      </c>
      <c r="P9" s="28" t="s">
        <v>242</v>
      </c>
      <c r="Q9" s="27">
        <f>Q8/SUM(K2:K26)</f>
        <v>0.54170324846356421</v>
      </c>
      <c r="V9" s="23"/>
    </row>
    <row r="10" spans="1:24" x14ac:dyDescent="0.25">
      <c r="A10" s="9"/>
      <c r="B10" s="16">
        <v>9</v>
      </c>
      <c r="C10" s="5">
        <v>46081</v>
      </c>
      <c r="D10" t="s">
        <v>29</v>
      </c>
      <c r="E10" s="9" t="s">
        <v>30</v>
      </c>
      <c r="F10" s="14">
        <v>0</v>
      </c>
      <c r="G10" s="14">
        <v>0</v>
      </c>
      <c r="H10" s="16">
        <f t="shared" si="1"/>
        <v>0</v>
      </c>
      <c r="I10">
        <v>2.62</v>
      </c>
      <c r="J10" s="6">
        <v>1</v>
      </c>
      <c r="K10" s="6">
        <f t="shared" si="0"/>
        <v>1.62</v>
      </c>
      <c r="L10" s="6">
        <f t="shared" si="2"/>
        <v>-1.62</v>
      </c>
      <c r="M10" s="8">
        <f t="shared" si="3"/>
        <v>0</v>
      </c>
      <c r="N10" s="13">
        <f t="shared" si="4"/>
        <v>11.129999999999995</v>
      </c>
    </row>
    <row r="11" spans="1:24" x14ac:dyDescent="0.25">
      <c r="A11" s="9"/>
      <c r="B11" s="16">
        <v>10</v>
      </c>
      <c r="C11" s="5">
        <v>46081</v>
      </c>
      <c r="D11" t="s">
        <v>31</v>
      </c>
      <c r="E11" s="9" t="s">
        <v>32</v>
      </c>
      <c r="F11" s="14">
        <v>2</v>
      </c>
      <c r="G11" s="14">
        <v>1</v>
      </c>
      <c r="H11" s="16">
        <f t="shared" si="1"/>
        <v>1</v>
      </c>
      <c r="I11">
        <v>2.74</v>
      </c>
      <c r="J11" s="6">
        <v>1</v>
      </c>
      <c r="K11" s="6">
        <f t="shared" si="0"/>
        <v>1.7400000000000002</v>
      </c>
      <c r="L11" s="6">
        <f t="shared" si="2"/>
        <v>1</v>
      </c>
      <c r="M11" s="8">
        <v>0.05</v>
      </c>
      <c r="N11" s="13">
        <f t="shared" si="4"/>
        <v>12.079999999999995</v>
      </c>
    </row>
    <row r="12" spans="1:24" x14ac:dyDescent="0.25">
      <c r="A12" s="9"/>
      <c r="B12" s="16">
        <v>11</v>
      </c>
      <c r="C12" s="5">
        <v>46081</v>
      </c>
      <c r="D12" t="s">
        <v>33</v>
      </c>
      <c r="E12" s="9" t="s">
        <v>34</v>
      </c>
      <c r="F12" s="14">
        <v>1</v>
      </c>
      <c r="G12" s="14">
        <v>2</v>
      </c>
      <c r="H12" s="16">
        <f t="shared" si="1"/>
        <v>1</v>
      </c>
      <c r="I12" s="7">
        <v>2.7</v>
      </c>
      <c r="J12" s="6">
        <v>1</v>
      </c>
      <c r="K12" s="6">
        <f t="shared" si="0"/>
        <v>1.7000000000000002</v>
      </c>
      <c r="L12" s="6">
        <f t="shared" si="2"/>
        <v>1</v>
      </c>
      <c r="M12" s="8">
        <f t="shared" si="3"/>
        <v>4.4000000000000004E-2</v>
      </c>
      <c r="N12" s="13">
        <f t="shared" si="4"/>
        <v>13.035999999999994</v>
      </c>
    </row>
    <row r="13" spans="1:24" x14ac:dyDescent="0.25">
      <c r="A13" s="9"/>
      <c r="B13" s="16">
        <v>12</v>
      </c>
      <c r="C13" s="5">
        <v>46081</v>
      </c>
      <c r="D13" t="s">
        <v>35</v>
      </c>
      <c r="E13" s="9" t="s">
        <v>36</v>
      </c>
      <c r="F13" s="14">
        <v>2</v>
      </c>
      <c r="G13" s="14">
        <v>0</v>
      </c>
      <c r="H13" s="16">
        <f t="shared" si="1"/>
        <v>1</v>
      </c>
      <c r="I13" s="7">
        <v>3.3</v>
      </c>
      <c r="J13" s="6">
        <v>1</v>
      </c>
      <c r="K13" s="6">
        <f t="shared" si="0"/>
        <v>2.2999999999999998</v>
      </c>
      <c r="L13" s="6">
        <f t="shared" si="2"/>
        <v>1</v>
      </c>
      <c r="M13" s="8">
        <f t="shared" si="3"/>
        <v>4.4000000000000004E-2</v>
      </c>
      <c r="N13" s="13">
        <f t="shared" si="4"/>
        <v>13.991999999999994</v>
      </c>
    </row>
    <row r="14" spans="1:24" x14ac:dyDescent="0.25">
      <c r="A14" s="9"/>
      <c r="B14" s="16">
        <v>13</v>
      </c>
      <c r="C14" s="5">
        <v>46081</v>
      </c>
      <c r="D14" t="s">
        <v>37</v>
      </c>
      <c r="E14" s="9" t="s">
        <v>38</v>
      </c>
      <c r="F14" s="14">
        <v>0</v>
      </c>
      <c r="G14" s="14">
        <v>2</v>
      </c>
      <c r="H14" s="16">
        <f t="shared" si="1"/>
        <v>1</v>
      </c>
      <c r="I14" s="7">
        <v>2.34</v>
      </c>
      <c r="J14" s="6">
        <v>1</v>
      </c>
      <c r="K14" s="6">
        <f t="shared" si="0"/>
        <v>1.3399999999999999</v>
      </c>
      <c r="L14" s="6">
        <f t="shared" si="2"/>
        <v>1</v>
      </c>
      <c r="M14" s="8">
        <f t="shared" si="3"/>
        <v>4.4000000000000004E-2</v>
      </c>
      <c r="N14" s="13">
        <f t="shared" si="4"/>
        <v>14.947999999999993</v>
      </c>
      <c r="P14" s="30"/>
      <c r="Q14" s="7"/>
    </row>
    <row r="15" spans="1:24" x14ac:dyDescent="0.25">
      <c r="A15" s="9"/>
      <c r="B15" s="16">
        <v>14</v>
      </c>
      <c r="C15" s="5">
        <v>46082</v>
      </c>
      <c r="D15" t="s">
        <v>39</v>
      </c>
      <c r="E15" s="12" t="s">
        <v>40</v>
      </c>
      <c r="F15" s="14">
        <v>1</v>
      </c>
      <c r="G15" s="14">
        <v>1</v>
      </c>
      <c r="H15" s="16">
        <v>1</v>
      </c>
      <c r="I15" s="7">
        <v>2.54</v>
      </c>
      <c r="J15" s="6">
        <v>1</v>
      </c>
      <c r="K15" s="6">
        <f t="shared" si="0"/>
        <v>1.54</v>
      </c>
      <c r="L15" s="6">
        <f t="shared" si="2"/>
        <v>1</v>
      </c>
      <c r="M15" s="8">
        <f t="shared" si="3"/>
        <v>4.4000000000000004E-2</v>
      </c>
      <c r="N15" s="13">
        <f t="shared" si="4"/>
        <v>15.903999999999993</v>
      </c>
    </row>
    <row r="16" spans="1:24" x14ac:dyDescent="0.25">
      <c r="A16" s="9"/>
      <c r="B16" s="16">
        <v>15</v>
      </c>
      <c r="C16" s="5">
        <v>46082</v>
      </c>
      <c r="D16" t="s">
        <v>41</v>
      </c>
      <c r="E16" s="9" t="s">
        <v>42</v>
      </c>
      <c r="F16" s="14">
        <v>3</v>
      </c>
      <c r="G16" s="14">
        <v>0</v>
      </c>
      <c r="H16" s="16">
        <f t="shared" si="1"/>
        <v>1</v>
      </c>
      <c r="I16" s="7">
        <v>5</v>
      </c>
      <c r="J16" s="6">
        <v>1</v>
      </c>
      <c r="K16" s="6">
        <f t="shared" si="0"/>
        <v>4</v>
      </c>
      <c r="L16" s="6">
        <f t="shared" si="2"/>
        <v>1</v>
      </c>
      <c r="M16" s="8">
        <f t="shared" si="3"/>
        <v>4.4000000000000004E-2</v>
      </c>
      <c r="N16" s="13">
        <f t="shared" si="4"/>
        <v>16.859999999999992</v>
      </c>
      <c r="P16" s="7"/>
      <c r="Q16" s="26"/>
      <c r="R16" s="26"/>
      <c r="S16" s="8"/>
      <c r="T16" s="26"/>
      <c r="U16" s="7"/>
      <c r="V16" s="7"/>
      <c r="W16" s="8"/>
      <c r="X16" s="31"/>
    </row>
    <row r="17" spans="1:24" x14ac:dyDescent="0.25">
      <c r="A17" s="9"/>
      <c r="B17" s="16">
        <v>16</v>
      </c>
      <c r="C17" s="5">
        <v>46082</v>
      </c>
      <c r="D17" t="s">
        <v>43</v>
      </c>
      <c r="E17" s="9" t="s">
        <v>44</v>
      </c>
      <c r="F17" s="14">
        <v>0</v>
      </c>
      <c r="G17" s="14">
        <v>0</v>
      </c>
      <c r="H17" s="16">
        <f t="shared" si="1"/>
        <v>0</v>
      </c>
      <c r="I17" s="7">
        <v>2.7</v>
      </c>
      <c r="J17" s="6">
        <v>1</v>
      </c>
      <c r="K17" s="6">
        <f t="shared" si="0"/>
        <v>1.7000000000000002</v>
      </c>
      <c r="L17" s="6">
        <f t="shared" si="2"/>
        <v>-1.7000000000000002</v>
      </c>
      <c r="M17" s="8">
        <f t="shared" si="3"/>
        <v>0</v>
      </c>
      <c r="N17" s="13">
        <f t="shared" si="4"/>
        <v>15.159999999999993</v>
      </c>
      <c r="P17" s="7"/>
      <c r="Q17" s="26"/>
      <c r="R17" s="26"/>
      <c r="S17" s="8"/>
      <c r="T17" s="26"/>
      <c r="U17" s="7"/>
      <c r="V17" s="7"/>
      <c r="W17" s="8"/>
      <c r="X17" s="31"/>
    </row>
    <row r="18" spans="1:24" x14ac:dyDescent="0.25">
      <c r="A18" s="9"/>
      <c r="B18" s="16">
        <v>17</v>
      </c>
      <c r="C18" s="5">
        <v>46082</v>
      </c>
      <c r="D18" t="s">
        <v>45</v>
      </c>
      <c r="E18" s="9" t="s">
        <v>46</v>
      </c>
      <c r="F18" s="14">
        <v>2</v>
      </c>
      <c r="G18" s="14">
        <v>2</v>
      </c>
      <c r="H18" s="16">
        <f t="shared" si="1"/>
        <v>0</v>
      </c>
      <c r="I18" s="7">
        <v>2.36</v>
      </c>
      <c r="J18" s="6">
        <v>1</v>
      </c>
      <c r="K18" s="6">
        <f t="shared" si="0"/>
        <v>1.3599999999999999</v>
      </c>
      <c r="L18" s="6">
        <f t="shared" si="2"/>
        <v>-1.3599999999999999</v>
      </c>
      <c r="M18" s="8">
        <f t="shared" si="3"/>
        <v>0</v>
      </c>
      <c r="N18" s="13">
        <f t="shared" si="4"/>
        <v>13.799999999999994</v>
      </c>
    </row>
    <row r="19" spans="1:24" x14ac:dyDescent="0.25">
      <c r="A19" s="9"/>
      <c r="B19" s="16">
        <v>18</v>
      </c>
      <c r="C19" s="5">
        <v>46082</v>
      </c>
      <c r="D19" t="s">
        <v>47</v>
      </c>
      <c r="E19" s="9" t="s">
        <v>48</v>
      </c>
      <c r="F19" s="14">
        <v>4</v>
      </c>
      <c r="G19" s="14">
        <v>3</v>
      </c>
      <c r="H19" s="16">
        <f t="shared" si="1"/>
        <v>1</v>
      </c>
      <c r="I19" s="7">
        <v>2.92</v>
      </c>
      <c r="J19" s="6">
        <v>1</v>
      </c>
      <c r="K19" s="6">
        <f t="shared" si="0"/>
        <v>1.92</v>
      </c>
      <c r="L19" s="6">
        <f t="shared" si="2"/>
        <v>1</v>
      </c>
      <c r="M19" s="8">
        <f t="shared" si="3"/>
        <v>4.4000000000000004E-2</v>
      </c>
      <c r="N19" s="13">
        <f t="shared" si="4"/>
        <v>14.755999999999993</v>
      </c>
    </row>
    <row r="20" spans="1:24" x14ac:dyDescent="0.25">
      <c r="A20" s="9"/>
      <c r="B20" s="16">
        <v>19</v>
      </c>
      <c r="C20" s="5">
        <v>46082</v>
      </c>
      <c r="D20" t="s">
        <v>49</v>
      </c>
      <c r="E20" s="9" t="s">
        <v>50</v>
      </c>
      <c r="F20" s="14">
        <v>0</v>
      </c>
      <c r="G20" s="14">
        <v>1</v>
      </c>
      <c r="H20" s="16">
        <f t="shared" si="1"/>
        <v>1</v>
      </c>
      <c r="I20" s="7">
        <v>2.5</v>
      </c>
      <c r="J20" s="6">
        <v>1</v>
      </c>
      <c r="K20" s="6">
        <f t="shared" si="0"/>
        <v>1.5</v>
      </c>
      <c r="L20" s="6">
        <f t="shared" si="2"/>
        <v>1</v>
      </c>
      <c r="M20" s="8">
        <f t="shared" si="3"/>
        <v>4.4000000000000004E-2</v>
      </c>
      <c r="N20" s="13">
        <f t="shared" si="4"/>
        <v>15.711999999999993</v>
      </c>
    </row>
    <row r="21" spans="1:24" x14ac:dyDescent="0.25">
      <c r="A21" s="9"/>
      <c r="B21" s="16">
        <v>20</v>
      </c>
      <c r="C21" s="5">
        <v>46083</v>
      </c>
      <c r="D21" t="s">
        <v>51</v>
      </c>
      <c r="E21" s="9" t="s">
        <v>52</v>
      </c>
      <c r="F21" s="14">
        <v>0</v>
      </c>
      <c r="G21" s="14">
        <v>1</v>
      </c>
      <c r="H21" s="16">
        <f t="shared" si="1"/>
        <v>1</v>
      </c>
      <c r="I21" s="7">
        <v>2.4</v>
      </c>
      <c r="J21" s="6">
        <v>1</v>
      </c>
      <c r="K21" s="6">
        <f t="shared" si="0"/>
        <v>1.4</v>
      </c>
      <c r="L21" s="6">
        <f t="shared" si="2"/>
        <v>1</v>
      </c>
      <c r="M21" s="8">
        <f t="shared" si="3"/>
        <v>4.4000000000000004E-2</v>
      </c>
      <c r="N21" s="13">
        <f t="shared" si="4"/>
        <v>16.667999999999992</v>
      </c>
    </row>
    <row r="22" spans="1:24" x14ac:dyDescent="0.25">
      <c r="A22" s="9"/>
      <c r="B22" s="16">
        <v>21</v>
      </c>
      <c r="C22" s="5">
        <v>46084</v>
      </c>
      <c r="D22" t="s">
        <v>53</v>
      </c>
      <c r="E22" s="9" t="s">
        <v>54</v>
      </c>
      <c r="F22" s="14">
        <v>3</v>
      </c>
      <c r="G22" s="14">
        <v>2</v>
      </c>
      <c r="H22" s="16">
        <f t="shared" si="1"/>
        <v>1</v>
      </c>
      <c r="I22" s="7">
        <v>3.15</v>
      </c>
      <c r="J22" s="6">
        <v>1</v>
      </c>
      <c r="K22" s="6">
        <f t="shared" si="0"/>
        <v>2.15</v>
      </c>
      <c r="L22" s="6">
        <f t="shared" si="2"/>
        <v>1</v>
      </c>
      <c r="M22" s="8">
        <f t="shared" si="3"/>
        <v>4.4000000000000004E-2</v>
      </c>
      <c r="N22" s="13">
        <f t="shared" si="4"/>
        <v>17.623999999999992</v>
      </c>
    </row>
    <row r="23" spans="1:24" x14ac:dyDescent="0.25">
      <c r="A23" s="9"/>
      <c r="B23" s="16">
        <v>22</v>
      </c>
      <c r="C23" s="5">
        <v>46084</v>
      </c>
      <c r="D23" t="s">
        <v>55</v>
      </c>
      <c r="E23" s="9" t="s">
        <v>56</v>
      </c>
      <c r="F23" s="14">
        <v>2</v>
      </c>
      <c r="G23" s="14">
        <v>1</v>
      </c>
      <c r="H23" s="16">
        <f t="shared" si="1"/>
        <v>1</v>
      </c>
      <c r="I23" s="7">
        <v>3.1</v>
      </c>
      <c r="J23" s="6">
        <v>1</v>
      </c>
      <c r="K23" s="6">
        <f t="shared" si="0"/>
        <v>2.1</v>
      </c>
      <c r="L23" s="6">
        <f t="shared" si="2"/>
        <v>1</v>
      </c>
      <c r="M23" s="8">
        <f t="shared" si="3"/>
        <v>4.4000000000000004E-2</v>
      </c>
      <c r="N23" s="13">
        <f t="shared" si="4"/>
        <v>18.579999999999991</v>
      </c>
    </row>
    <row r="24" spans="1:24" x14ac:dyDescent="0.25">
      <c r="A24" s="9"/>
      <c r="B24" s="16">
        <v>23</v>
      </c>
      <c r="C24" s="5">
        <v>46084</v>
      </c>
      <c r="D24" t="s">
        <v>64</v>
      </c>
      <c r="E24" s="9" t="s">
        <v>65</v>
      </c>
      <c r="F24" s="14">
        <v>1</v>
      </c>
      <c r="G24" s="14">
        <v>0</v>
      </c>
      <c r="H24" s="16">
        <f t="shared" si="1"/>
        <v>1</v>
      </c>
      <c r="I24" s="7">
        <v>2.2799999999999998</v>
      </c>
      <c r="J24" s="6">
        <v>1</v>
      </c>
      <c r="K24" s="6">
        <f t="shared" si="0"/>
        <v>1.2799999999999998</v>
      </c>
      <c r="L24" s="6">
        <f t="shared" si="2"/>
        <v>1</v>
      </c>
      <c r="M24" s="8">
        <f t="shared" si="3"/>
        <v>4.4000000000000004E-2</v>
      </c>
      <c r="N24" s="13">
        <f t="shared" si="4"/>
        <v>19.535999999999991</v>
      </c>
    </row>
    <row r="25" spans="1:24" x14ac:dyDescent="0.25">
      <c r="A25" s="9"/>
      <c r="B25" s="16">
        <v>24</v>
      </c>
      <c r="C25" s="5">
        <v>46085</v>
      </c>
      <c r="D25" s="5" t="s">
        <v>145</v>
      </c>
      <c r="E25" s="11" t="s">
        <v>146</v>
      </c>
      <c r="F25" s="14">
        <v>0</v>
      </c>
      <c r="G25" s="14">
        <v>1</v>
      </c>
      <c r="H25" s="16">
        <f t="shared" si="1"/>
        <v>1</v>
      </c>
      <c r="I25" s="7">
        <v>2.58</v>
      </c>
      <c r="J25" s="6">
        <v>1</v>
      </c>
      <c r="K25" s="6">
        <f t="shared" si="0"/>
        <v>1.58</v>
      </c>
      <c r="L25" s="6">
        <f t="shared" si="2"/>
        <v>1</v>
      </c>
      <c r="M25" s="8">
        <f t="shared" si="3"/>
        <v>4.4000000000000004E-2</v>
      </c>
      <c r="N25" s="13">
        <f t="shared" si="4"/>
        <v>20.49199999999999</v>
      </c>
    </row>
    <row r="26" spans="1:24" x14ac:dyDescent="0.25">
      <c r="A26" s="9"/>
      <c r="B26" s="16">
        <v>25</v>
      </c>
      <c r="C26" s="5">
        <v>46085</v>
      </c>
      <c r="D26" s="5" t="s">
        <v>147</v>
      </c>
      <c r="E26" s="11" t="s">
        <v>148</v>
      </c>
      <c r="F26" s="14">
        <v>1</v>
      </c>
      <c r="G26" s="14">
        <v>2</v>
      </c>
      <c r="H26" s="16">
        <f t="shared" si="1"/>
        <v>1</v>
      </c>
      <c r="I26" s="7">
        <v>2.5</v>
      </c>
      <c r="J26" s="6">
        <v>1</v>
      </c>
      <c r="K26" s="6">
        <f t="shared" si="0"/>
        <v>1.5</v>
      </c>
      <c r="L26" s="6">
        <f t="shared" si="2"/>
        <v>1</v>
      </c>
      <c r="M26" s="8">
        <f t="shared" si="3"/>
        <v>4.4000000000000004E-2</v>
      </c>
      <c r="N26" s="13">
        <f t="shared" si="4"/>
        <v>21.44799999999999</v>
      </c>
    </row>
    <row r="27" spans="1:24" x14ac:dyDescent="0.25">
      <c r="A27" s="9"/>
      <c r="B27" s="16">
        <v>26</v>
      </c>
      <c r="C27" s="5">
        <v>46086</v>
      </c>
      <c r="D27" s="5" t="s">
        <v>244</v>
      </c>
      <c r="E27" s="11" t="s">
        <v>245</v>
      </c>
      <c r="F27" s="14">
        <v>1</v>
      </c>
      <c r="G27" s="14">
        <v>3</v>
      </c>
      <c r="H27" s="16">
        <f t="shared" si="1"/>
        <v>1</v>
      </c>
      <c r="I27" s="7">
        <v>2.6</v>
      </c>
      <c r="J27" s="6">
        <v>1</v>
      </c>
      <c r="K27" s="6">
        <f t="shared" si="0"/>
        <v>1.6</v>
      </c>
      <c r="L27" s="6">
        <f t="shared" si="2"/>
        <v>1</v>
      </c>
      <c r="M27" s="8">
        <v>0.06</v>
      </c>
      <c r="N27" s="13">
        <f t="shared" si="4"/>
        <v>22.387999999999991</v>
      </c>
    </row>
    <row r="28" spans="1:24" x14ac:dyDescent="0.25">
      <c r="A28" s="9"/>
      <c r="B28" s="16">
        <v>27</v>
      </c>
      <c r="C28" s="5">
        <v>46086</v>
      </c>
      <c r="D28" s="5" t="s">
        <v>246</v>
      </c>
      <c r="E28" s="11" t="s">
        <v>247</v>
      </c>
      <c r="F28" s="14">
        <v>2</v>
      </c>
      <c r="G28" s="14">
        <v>2</v>
      </c>
      <c r="H28" s="16">
        <f t="shared" si="1"/>
        <v>0</v>
      </c>
      <c r="I28" s="7">
        <v>2.64</v>
      </c>
      <c r="J28" s="6">
        <v>1</v>
      </c>
      <c r="K28" s="6">
        <f t="shared" si="0"/>
        <v>1.6400000000000001</v>
      </c>
      <c r="L28" s="6">
        <f t="shared" si="2"/>
        <v>-1.6400000000000001</v>
      </c>
      <c r="M28" s="8">
        <f t="shared" si="3"/>
        <v>0</v>
      </c>
      <c r="N28" s="13">
        <f>L28+N27-M28</f>
        <v>20.74799999999999</v>
      </c>
    </row>
    <row r="29" spans="1:24" x14ac:dyDescent="0.25">
      <c r="A29" s="9"/>
      <c r="B29" s="16">
        <v>28</v>
      </c>
      <c r="C29" s="5">
        <v>46086</v>
      </c>
      <c r="D29" s="5" t="s">
        <v>248</v>
      </c>
      <c r="E29" s="11" t="s">
        <v>249</v>
      </c>
      <c r="F29" s="14">
        <v>1</v>
      </c>
      <c r="G29" s="14">
        <v>0</v>
      </c>
      <c r="H29" s="16">
        <f t="shared" si="1"/>
        <v>1</v>
      </c>
      <c r="I29" s="7">
        <v>2.08</v>
      </c>
      <c r="J29" s="6">
        <v>1</v>
      </c>
      <c r="K29" s="6">
        <f t="shared" si="0"/>
        <v>1.08</v>
      </c>
      <c r="L29" s="6">
        <f t="shared" si="2"/>
        <v>1</v>
      </c>
      <c r="M29" s="8">
        <f t="shared" si="3"/>
        <v>4.4000000000000004E-2</v>
      </c>
      <c r="N29" s="13">
        <f>L29+N28-M29</f>
        <v>21.70399999999999</v>
      </c>
      <c r="O29" s="26"/>
    </row>
    <row r="30" spans="1:24" x14ac:dyDescent="0.25">
      <c r="A30" s="9"/>
      <c r="B30" s="16">
        <v>29</v>
      </c>
      <c r="C30" s="5">
        <v>46087</v>
      </c>
      <c r="D30" s="5" t="s">
        <v>255</v>
      </c>
      <c r="E30" s="11" t="s">
        <v>256</v>
      </c>
      <c r="F30" s="14">
        <v>1</v>
      </c>
      <c r="G30" s="14">
        <v>0</v>
      </c>
      <c r="H30" s="16">
        <f t="shared" si="1"/>
        <v>1</v>
      </c>
      <c r="I30" s="7">
        <v>2.9</v>
      </c>
      <c r="J30" s="6">
        <v>1</v>
      </c>
      <c r="K30" s="6">
        <f t="shared" si="0"/>
        <v>1.9</v>
      </c>
      <c r="L30" s="6">
        <f t="shared" si="2"/>
        <v>1</v>
      </c>
      <c r="M30" s="8">
        <f t="shared" si="3"/>
        <v>4.4000000000000004E-2</v>
      </c>
      <c r="N30" s="13">
        <f t="shared" ref="N30:N40" si="5">L30+N29-M30</f>
        <v>22.659999999999989</v>
      </c>
    </row>
    <row r="31" spans="1:24" x14ac:dyDescent="0.25">
      <c r="A31" s="9"/>
      <c r="B31" s="16">
        <v>30</v>
      </c>
      <c r="C31" s="5">
        <v>46087</v>
      </c>
      <c r="D31" s="5" t="s">
        <v>257</v>
      </c>
      <c r="E31" s="11" t="s">
        <v>258</v>
      </c>
      <c r="F31" s="14">
        <v>0</v>
      </c>
      <c r="G31" s="14">
        <v>1</v>
      </c>
      <c r="H31" s="16">
        <f t="shared" si="1"/>
        <v>1</v>
      </c>
      <c r="I31" s="7">
        <v>2.7</v>
      </c>
      <c r="J31" s="6">
        <v>1</v>
      </c>
      <c r="K31" s="6">
        <f t="shared" si="0"/>
        <v>1.7000000000000002</v>
      </c>
      <c r="L31" s="6">
        <f t="shared" si="2"/>
        <v>1</v>
      </c>
      <c r="M31" s="8">
        <v>0.05</v>
      </c>
      <c r="N31" s="13">
        <f t="shared" si="5"/>
        <v>23.609999999999989</v>
      </c>
    </row>
    <row r="32" spans="1:24" x14ac:dyDescent="0.25">
      <c r="A32" s="9"/>
      <c r="B32" s="16">
        <v>31</v>
      </c>
      <c r="C32" s="5">
        <v>46087</v>
      </c>
      <c r="D32" s="5" t="s">
        <v>285</v>
      </c>
      <c r="E32" s="11" t="s">
        <v>286</v>
      </c>
      <c r="F32" s="14">
        <v>1</v>
      </c>
      <c r="G32" s="14">
        <v>3</v>
      </c>
      <c r="H32" s="16">
        <v>0</v>
      </c>
      <c r="I32" s="7">
        <v>2.9</v>
      </c>
      <c r="J32" s="6">
        <v>1</v>
      </c>
      <c r="K32" s="6">
        <f t="shared" si="0"/>
        <v>1.9</v>
      </c>
      <c r="L32" s="6">
        <f t="shared" si="2"/>
        <v>-1.9</v>
      </c>
      <c r="M32" s="8">
        <f t="shared" si="3"/>
        <v>0</v>
      </c>
      <c r="N32" s="13">
        <f t="shared" si="5"/>
        <v>21.70999999999999</v>
      </c>
    </row>
    <row r="33" spans="1:14" x14ac:dyDescent="0.25">
      <c r="A33" s="9"/>
      <c r="B33" s="16">
        <v>32</v>
      </c>
      <c r="C33" s="5">
        <v>46087</v>
      </c>
      <c r="D33" s="5" t="s">
        <v>287</v>
      </c>
      <c r="E33" s="11" t="s">
        <v>184</v>
      </c>
      <c r="F33" s="14">
        <v>2</v>
      </c>
      <c r="G33" s="14">
        <v>2</v>
      </c>
      <c r="H33" s="16">
        <f t="shared" si="1"/>
        <v>0</v>
      </c>
      <c r="I33" s="7">
        <v>2.5</v>
      </c>
      <c r="J33" s="6">
        <v>1</v>
      </c>
      <c r="K33" s="6">
        <f t="shared" si="0"/>
        <v>1.5</v>
      </c>
      <c r="L33" s="6">
        <f t="shared" si="2"/>
        <v>-1.5</v>
      </c>
      <c r="M33" s="8">
        <f t="shared" si="3"/>
        <v>0</v>
      </c>
      <c r="N33" s="13">
        <f t="shared" si="5"/>
        <v>20.20999999999999</v>
      </c>
    </row>
    <row r="34" spans="1:14" x14ac:dyDescent="0.25">
      <c r="A34" s="9"/>
      <c r="B34" s="16">
        <v>33</v>
      </c>
      <c r="C34" s="5">
        <v>46087</v>
      </c>
      <c r="D34" s="5" t="s">
        <v>288</v>
      </c>
      <c r="E34" s="11" t="s">
        <v>289</v>
      </c>
      <c r="F34" s="14">
        <v>1</v>
      </c>
      <c r="G34" s="14">
        <v>4</v>
      </c>
      <c r="H34" s="16">
        <f t="shared" si="1"/>
        <v>1</v>
      </c>
      <c r="I34" s="7">
        <v>3.3</v>
      </c>
      <c r="J34" s="6">
        <v>1</v>
      </c>
      <c r="K34" s="6">
        <f t="shared" si="0"/>
        <v>2.2999999999999998</v>
      </c>
      <c r="L34" s="6">
        <f t="shared" si="2"/>
        <v>1</v>
      </c>
      <c r="M34" s="8">
        <v>0.05</v>
      </c>
      <c r="N34" s="13">
        <f t="shared" si="5"/>
        <v>21.159999999999989</v>
      </c>
    </row>
    <row r="35" spans="1:14" x14ac:dyDescent="0.25">
      <c r="A35" s="9"/>
      <c r="B35" s="16">
        <v>34</v>
      </c>
      <c r="C35" s="5">
        <v>45723</v>
      </c>
      <c r="D35" s="5" t="s">
        <v>334</v>
      </c>
      <c r="E35" s="11" t="s">
        <v>59</v>
      </c>
      <c r="F35" s="14">
        <v>1</v>
      </c>
      <c r="G35" s="14">
        <v>0</v>
      </c>
      <c r="H35" s="16">
        <f t="shared" si="1"/>
        <v>1</v>
      </c>
      <c r="I35" s="7">
        <v>2.7</v>
      </c>
      <c r="J35" s="6">
        <v>1</v>
      </c>
      <c r="K35" s="6">
        <f t="shared" si="0"/>
        <v>1.7000000000000002</v>
      </c>
      <c r="L35" s="6">
        <f t="shared" si="2"/>
        <v>1</v>
      </c>
      <c r="M35" s="8">
        <v>0.05</v>
      </c>
      <c r="N35" s="13">
        <f t="shared" si="5"/>
        <v>22.109999999999989</v>
      </c>
    </row>
    <row r="36" spans="1:14" x14ac:dyDescent="0.25">
      <c r="A36" s="9"/>
      <c r="B36" s="16">
        <v>35</v>
      </c>
      <c r="C36" s="5">
        <v>45723</v>
      </c>
      <c r="D36" s="5" t="s">
        <v>337</v>
      </c>
      <c r="E36" s="37" t="s">
        <v>338</v>
      </c>
      <c r="F36" s="14">
        <v>2</v>
      </c>
      <c r="G36" s="14">
        <v>1</v>
      </c>
      <c r="H36" s="16">
        <f t="shared" si="1"/>
        <v>1</v>
      </c>
      <c r="I36" s="7">
        <v>1.95</v>
      </c>
      <c r="J36" s="6">
        <v>1</v>
      </c>
      <c r="K36" s="6">
        <f t="shared" si="0"/>
        <v>0.95</v>
      </c>
      <c r="L36" s="6">
        <f t="shared" si="2"/>
        <v>1</v>
      </c>
      <c r="M36" s="8">
        <v>0.05</v>
      </c>
      <c r="N36" s="13">
        <f t="shared" si="5"/>
        <v>23.059999999999988</v>
      </c>
    </row>
    <row r="37" spans="1:14" x14ac:dyDescent="0.25">
      <c r="A37" s="9"/>
      <c r="B37" s="16">
        <v>36</v>
      </c>
      <c r="C37" s="5">
        <v>45723</v>
      </c>
      <c r="D37" s="5" t="s">
        <v>339</v>
      </c>
      <c r="E37" s="11" t="s">
        <v>340</v>
      </c>
      <c r="F37" s="14">
        <v>0</v>
      </c>
      <c r="G37" s="14">
        <v>0</v>
      </c>
      <c r="H37" s="16">
        <f t="shared" si="1"/>
        <v>0</v>
      </c>
      <c r="I37" s="7">
        <v>2.2599999999999998</v>
      </c>
      <c r="J37" s="6">
        <v>1</v>
      </c>
      <c r="K37" s="6">
        <f t="shared" si="0"/>
        <v>1.2599999999999998</v>
      </c>
      <c r="L37" s="6">
        <f t="shared" si="2"/>
        <v>-1.2599999999999998</v>
      </c>
      <c r="M37" s="8">
        <f t="shared" ref="M37" si="6">IF(L37&lt;0,0,J37/100)*4.4</f>
        <v>0</v>
      </c>
      <c r="N37" s="13">
        <f t="shared" si="5"/>
        <v>21.79999999999999</v>
      </c>
    </row>
    <row r="38" spans="1:14" x14ac:dyDescent="0.25">
      <c r="A38" s="9"/>
      <c r="B38" s="16">
        <v>37</v>
      </c>
      <c r="C38" s="5">
        <v>45723</v>
      </c>
      <c r="D38" s="5" t="s">
        <v>341</v>
      </c>
      <c r="E38" s="11" t="s">
        <v>342</v>
      </c>
      <c r="F38" s="14">
        <v>0</v>
      </c>
      <c r="G38" s="14">
        <v>1</v>
      </c>
      <c r="H38" s="16">
        <f t="shared" si="1"/>
        <v>1</v>
      </c>
      <c r="I38" s="7">
        <v>2.2000000000000002</v>
      </c>
      <c r="J38" s="6">
        <v>1</v>
      </c>
      <c r="K38" s="6">
        <f t="shared" si="0"/>
        <v>1.2000000000000002</v>
      </c>
      <c r="L38" s="6">
        <f t="shared" si="2"/>
        <v>1</v>
      </c>
      <c r="M38" s="8">
        <v>0.04</v>
      </c>
      <c r="N38" s="13">
        <f t="shared" si="5"/>
        <v>22.759999999999991</v>
      </c>
    </row>
    <row r="39" spans="1:14" x14ac:dyDescent="0.25">
      <c r="A39" s="9"/>
      <c r="B39" s="16">
        <v>38</v>
      </c>
      <c r="C39" s="5">
        <v>45723</v>
      </c>
      <c r="D39" s="5" t="s">
        <v>343</v>
      </c>
      <c r="E39" s="11" t="s">
        <v>344</v>
      </c>
      <c r="F39" s="14">
        <v>0</v>
      </c>
      <c r="G39" s="14">
        <v>2</v>
      </c>
      <c r="H39" s="16">
        <f t="shared" si="1"/>
        <v>1</v>
      </c>
      <c r="I39" s="7">
        <v>2.6</v>
      </c>
      <c r="J39" s="6">
        <v>1</v>
      </c>
      <c r="K39" s="6">
        <f t="shared" si="0"/>
        <v>1.6</v>
      </c>
      <c r="L39" s="6">
        <f t="shared" si="2"/>
        <v>1</v>
      </c>
      <c r="M39" s="8">
        <v>0.03</v>
      </c>
      <c r="N39" s="13">
        <f t="shared" si="5"/>
        <v>23.72999999999999</v>
      </c>
    </row>
    <row r="40" spans="1:14" x14ac:dyDescent="0.25">
      <c r="B40" s="16">
        <v>39</v>
      </c>
      <c r="C40" s="5">
        <v>45723</v>
      </c>
      <c r="D40" s="5" t="s">
        <v>346</v>
      </c>
      <c r="E40" s="11" t="s">
        <v>345</v>
      </c>
      <c r="F40" s="14">
        <v>2</v>
      </c>
      <c r="G40" s="14">
        <v>0</v>
      </c>
      <c r="H40" s="14">
        <f t="shared" si="1"/>
        <v>1</v>
      </c>
      <c r="I40" s="7">
        <v>2.7</v>
      </c>
      <c r="J40" s="6">
        <v>1</v>
      </c>
      <c r="K40" s="6">
        <f t="shared" si="0"/>
        <v>1.7000000000000002</v>
      </c>
      <c r="L40" s="6">
        <f t="shared" si="2"/>
        <v>1</v>
      </c>
      <c r="M40" s="8">
        <v>0.05</v>
      </c>
      <c r="N40" s="13">
        <f t="shared" si="5"/>
        <v>24.679999999999989</v>
      </c>
    </row>
    <row r="41" spans="1:14" x14ac:dyDescent="0.25">
      <c r="C41" s="5">
        <v>46089</v>
      </c>
      <c r="D41" s="5" t="s">
        <v>145</v>
      </c>
      <c r="E41" s="11" t="s">
        <v>393</v>
      </c>
      <c r="I41" s="39">
        <v>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4E9B-B08E-4037-A7EE-306B60A72B90}">
  <sheetPr>
    <tabColor theme="7"/>
  </sheetPr>
  <dimension ref="A1:Q14"/>
  <sheetViews>
    <sheetView showGridLines="0" workbookViewId="0">
      <selection activeCell="P14" sqref="P14"/>
    </sheetView>
  </sheetViews>
  <sheetFormatPr defaultRowHeight="15" x14ac:dyDescent="0.25"/>
  <cols>
    <col min="1" max="1" width="1.42578125" customWidth="1"/>
    <col min="2" max="2" width="3" bestFit="1" customWidth="1"/>
    <col min="3" max="3" width="10.7109375" bestFit="1" customWidth="1"/>
    <col min="4" max="4" width="17.5703125" bestFit="1" customWidth="1"/>
    <col min="5" max="5" width="19.28515625" bestFit="1" customWidth="1"/>
    <col min="6" max="7" width="3.7109375" style="14" bestFit="1" customWidth="1"/>
    <col min="8" max="8" width="2.140625" style="14" bestFit="1" customWidth="1"/>
    <col min="9" max="9" width="5" bestFit="1" customWidth="1"/>
    <col min="10" max="12" width="8.5703125" bestFit="1" customWidth="1"/>
    <col min="13" max="13" width="5" bestFit="1" customWidth="1"/>
    <col min="14" max="14" width="8.5703125" bestFit="1" customWidth="1"/>
  </cols>
  <sheetData>
    <row r="1" spans="1:17" ht="15.75" thickBot="1" x14ac:dyDescent="0.3"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17" ht="15.75" thickTop="1" x14ac:dyDescent="0.25">
      <c r="A2" s="9"/>
      <c r="B2" s="32">
        <v>1</v>
      </c>
      <c r="C2" s="5">
        <v>46084</v>
      </c>
      <c r="D2" s="5" t="s">
        <v>57</v>
      </c>
      <c r="E2" s="11" t="s">
        <v>58</v>
      </c>
      <c r="F2" s="14">
        <v>0</v>
      </c>
      <c r="G2" s="14">
        <v>1</v>
      </c>
      <c r="H2" s="15">
        <f>IF(F2+G2&gt;0,1,0)</f>
        <v>1</v>
      </c>
      <c r="I2">
        <v>1.25</v>
      </c>
      <c r="J2" s="6">
        <v>1</v>
      </c>
      <c r="K2" s="8">
        <f t="shared" ref="K2:K9" si="0">J2</f>
        <v>1</v>
      </c>
      <c r="L2" s="6">
        <f>IF(H2=1,I2-1*1,-J2)</f>
        <v>0.25</v>
      </c>
      <c r="M2">
        <v>0.04</v>
      </c>
      <c r="N2" s="22">
        <f>L2-M2</f>
        <v>0.21</v>
      </c>
    </row>
    <row r="3" spans="1:17" x14ac:dyDescent="0.25">
      <c r="A3" s="9"/>
      <c r="B3" s="16">
        <v>2</v>
      </c>
      <c r="C3" s="5">
        <v>46084</v>
      </c>
      <c r="D3" s="5" t="s">
        <v>59</v>
      </c>
      <c r="E3" s="11" t="s">
        <v>60</v>
      </c>
      <c r="F3" s="14">
        <v>0</v>
      </c>
      <c r="G3" s="14">
        <v>0</v>
      </c>
      <c r="H3" s="16">
        <f t="shared" ref="H3:H14" si="1">IF(F3+G3&gt;0,1,0)</f>
        <v>0</v>
      </c>
      <c r="I3">
        <v>1.35</v>
      </c>
      <c r="J3" s="6">
        <v>1</v>
      </c>
      <c r="K3" s="8">
        <f t="shared" si="0"/>
        <v>1</v>
      </c>
      <c r="L3" s="6">
        <f t="shared" ref="L3:L14" si="2">IF(H3=1,I3-1*1,-J3)</f>
        <v>-1</v>
      </c>
      <c r="M3" t="s">
        <v>67</v>
      </c>
      <c r="N3" s="13">
        <f>L3+N2</f>
        <v>-0.79</v>
      </c>
    </row>
    <row r="4" spans="1:17" x14ac:dyDescent="0.25">
      <c r="A4" s="9"/>
      <c r="B4" s="16">
        <v>3</v>
      </c>
      <c r="C4" s="5">
        <v>46084</v>
      </c>
      <c r="D4" s="5" t="s">
        <v>61</v>
      </c>
      <c r="E4" s="11" t="s">
        <v>62</v>
      </c>
      <c r="F4" s="14">
        <v>0</v>
      </c>
      <c r="G4" s="14">
        <v>0</v>
      </c>
      <c r="H4" s="16">
        <f t="shared" si="1"/>
        <v>0</v>
      </c>
      <c r="I4">
        <v>1.48</v>
      </c>
      <c r="J4" s="6">
        <v>1</v>
      </c>
      <c r="K4" s="8">
        <f t="shared" si="0"/>
        <v>1</v>
      </c>
      <c r="L4" s="6">
        <f t="shared" si="2"/>
        <v>-1</v>
      </c>
      <c r="M4" t="s">
        <v>67</v>
      </c>
      <c r="N4" s="13">
        <f t="shared" ref="N4:N14" si="3">L4+N3</f>
        <v>-1.79</v>
      </c>
    </row>
    <row r="5" spans="1:17" x14ac:dyDescent="0.25">
      <c r="A5" s="9"/>
      <c r="B5" s="16">
        <v>4</v>
      </c>
      <c r="C5" s="5">
        <v>46084</v>
      </c>
      <c r="D5" s="5" t="s">
        <v>63</v>
      </c>
      <c r="E5" s="11" t="s">
        <v>66</v>
      </c>
      <c r="F5" s="14">
        <v>2</v>
      </c>
      <c r="G5" s="14">
        <v>1</v>
      </c>
      <c r="H5" s="16">
        <f t="shared" si="1"/>
        <v>1</v>
      </c>
      <c r="I5">
        <v>1.18</v>
      </c>
      <c r="J5" s="6">
        <v>1</v>
      </c>
      <c r="K5" s="8">
        <f t="shared" si="0"/>
        <v>1</v>
      </c>
      <c r="L5" s="6">
        <f t="shared" si="2"/>
        <v>0.17999999999999994</v>
      </c>
      <c r="M5">
        <v>0.04</v>
      </c>
      <c r="N5" s="13">
        <f t="shared" si="3"/>
        <v>-1.61</v>
      </c>
      <c r="Q5" s="23"/>
    </row>
    <row r="6" spans="1:17" x14ac:dyDescent="0.25">
      <c r="A6" s="9"/>
      <c r="B6" s="16">
        <v>5</v>
      </c>
      <c r="C6" s="5">
        <v>46085</v>
      </c>
      <c r="D6" s="5" t="s">
        <v>144</v>
      </c>
      <c r="E6" s="11" t="s">
        <v>143</v>
      </c>
      <c r="F6" s="14">
        <v>2</v>
      </c>
      <c r="G6" s="14">
        <v>1</v>
      </c>
      <c r="H6" s="16">
        <f t="shared" si="1"/>
        <v>1</v>
      </c>
      <c r="I6" s="7">
        <v>1.1000000000000001</v>
      </c>
      <c r="J6" s="6">
        <v>1</v>
      </c>
      <c r="K6" s="8">
        <f t="shared" si="0"/>
        <v>1</v>
      </c>
      <c r="L6" s="6">
        <f t="shared" si="2"/>
        <v>0.10000000000000009</v>
      </c>
      <c r="M6">
        <v>0.04</v>
      </c>
      <c r="N6" s="13">
        <f t="shared" si="3"/>
        <v>-1.51</v>
      </c>
    </row>
    <row r="7" spans="1:17" x14ac:dyDescent="0.25">
      <c r="A7" s="9"/>
      <c r="B7" s="16">
        <v>6</v>
      </c>
      <c r="C7" s="5">
        <v>46085</v>
      </c>
      <c r="D7" s="5" t="s">
        <v>145</v>
      </c>
      <c r="E7" s="11" t="s">
        <v>146</v>
      </c>
      <c r="F7" s="14">
        <v>0</v>
      </c>
      <c r="G7" s="14">
        <v>1</v>
      </c>
      <c r="H7" s="16">
        <f t="shared" si="1"/>
        <v>1</v>
      </c>
      <c r="I7">
        <v>1.27</v>
      </c>
      <c r="J7" s="6">
        <v>1</v>
      </c>
      <c r="K7" s="8">
        <f t="shared" si="0"/>
        <v>1</v>
      </c>
      <c r="L7" s="6">
        <f t="shared" si="2"/>
        <v>0.27</v>
      </c>
      <c r="M7">
        <v>0.04</v>
      </c>
      <c r="N7" s="13">
        <f t="shared" si="3"/>
        <v>-1.24</v>
      </c>
    </row>
    <row r="8" spans="1:17" x14ac:dyDescent="0.25">
      <c r="A8" s="9"/>
      <c r="B8" s="16">
        <v>7</v>
      </c>
      <c r="C8" s="5">
        <v>46085</v>
      </c>
      <c r="D8" s="5" t="s">
        <v>147</v>
      </c>
      <c r="E8" s="11" t="s">
        <v>148</v>
      </c>
      <c r="F8" s="14">
        <v>1</v>
      </c>
      <c r="G8" s="14">
        <v>2</v>
      </c>
      <c r="H8" s="16">
        <f t="shared" si="1"/>
        <v>1</v>
      </c>
      <c r="I8">
        <v>1.33</v>
      </c>
      <c r="J8" s="6">
        <v>1</v>
      </c>
      <c r="K8" s="8">
        <f t="shared" si="0"/>
        <v>1</v>
      </c>
      <c r="L8" s="6">
        <f t="shared" si="2"/>
        <v>0.33000000000000007</v>
      </c>
      <c r="M8">
        <v>0.04</v>
      </c>
      <c r="N8" s="13">
        <f t="shared" si="3"/>
        <v>-0.90999999999999992</v>
      </c>
    </row>
    <row r="9" spans="1:17" x14ac:dyDescent="0.25">
      <c r="A9" s="9"/>
      <c r="B9" s="16">
        <v>8</v>
      </c>
      <c r="C9" s="5">
        <v>46085</v>
      </c>
      <c r="D9" s="5" t="s">
        <v>149</v>
      </c>
      <c r="E9" s="11" t="s">
        <v>150</v>
      </c>
      <c r="F9" s="14">
        <v>1</v>
      </c>
      <c r="G9" s="14">
        <v>2</v>
      </c>
      <c r="H9" s="16">
        <f t="shared" si="1"/>
        <v>1</v>
      </c>
      <c r="I9">
        <v>1.1499999999999999</v>
      </c>
      <c r="J9" s="6">
        <v>1</v>
      </c>
      <c r="K9" s="8">
        <f t="shared" si="0"/>
        <v>1</v>
      </c>
      <c r="L9" s="6">
        <f t="shared" si="2"/>
        <v>0.14999999999999991</v>
      </c>
      <c r="M9">
        <v>0.04</v>
      </c>
      <c r="N9" s="13">
        <f t="shared" si="3"/>
        <v>-0.76</v>
      </c>
    </row>
    <row r="10" spans="1:17" x14ac:dyDescent="0.25">
      <c r="A10" s="9"/>
      <c r="B10" s="16">
        <v>9</v>
      </c>
      <c r="C10" s="5">
        <v>46085</v>
      </c>
      <c r="D10" s="5" t="s">
        <v>151</v>
      </c>
      <c r="E10" s="11" t="s">
        <v>152</v>
      </c>
      <c r="F10" s="14">
        <v>0</v>
      </c>
      <c r="G10" s="14">
        <v>1</v>
      </c>
      <c r="H10" s="16">
        <f t="shared" si="1"/>
        <v>1</v>
      </c>
      <c r="I10">
        <v>1.25</v>
      </c>
      <c r="J10" s="6">
        <v>1</v>
      </c>
      <c r="K10" s="8">
        <f t="shared" ref="K10:K14" si="4">J10</f>
        <v>1</v>
      </c>
      <c r="L10" s="6">
        <f t="shared" si="2"/>
        <v>0.25</v>
      </c>
      <c r="M10">
        <v>0.04</v>
      </c>
      <c r="N10" s="13">
        <f t="shared" si="3"/>
        <v>-0.51</v>
      </c>
    </row>
    <row r="11" spans="1:17" x14ac:dyDescent="0.25">
      <c r="A11" s="9"/>
      <c r="B11" s="16">
        <v>10</v>
      </c>
      <c r="C11" s="5">
        <v>46085</v>
      </c>
      <c r="D11" s="5" t="s">
        <v>153</v>
      </c>
      <c r="E11" s="11" t="s">
        <v>154</v>
      </c>
      <c r="F11" s="14">
        <v>3</v>
      </c>
      <c r="G11" s="14">
        <v>3</v>
      </c>
      <c r="H11" s="16">
        <f t="shared" si="1"/>
        <v>1</v>
      </c>
      <c r="I11">
        <v>1.36</v>
      </c>
      <c r="J11" s="6">
        <v>1</v>
      </c>
      <c r="K11" s="8">
        <f t="shared" si="4"/>
        <v>1</v>
      </c>
      <c r="L11" s="6">
        <f t="shared" si="2"/>
        <v>0.3600000000000001</v>
      </c>
      <c r="M11">
        <v>0.04</v>
      </c>
      <c r="N11" s="13">
        <f t="shared" si="3"/>
        <v>-0.14999999999999991</v>
      </c>
    </row>
    <row r="12" spans="1:17" x14ac:dyDescent="0.25">
      <c r="A12" s="9"/>
      <c r="B12" s="16">
        <v>11</v>
      </c>
      <c r="C12" s="5">
        <v>46085</v>
      </c>
      <c r="D12" s="5" t="s">
        <v>155</v>
      </c>
      <c r="E12" s="11" t="s">
        <v>156</v>
      </c>
      <c r="F12" s="14">
        <v>1</v>
      </c>
      <c r="G12" s="14">
        <v>1</v>
      </c>
      <c r="H12" s="16">
        <f t="shared" si="1"/>
        <v>1</v>
      </c>
      <c r="I12">
        <v>1.46</v>
      </c>
      <c r="J12" s="6">
        <v>1</v>
      </c>
      <c r="K12" s="8">
        <f t="shared" si="4"/>
        <v>1</v>
      </c>
      <c r="L12" s="6">
        <f t="shared" si="2"/>
        <v>0.45999999999999996</v>
      </c>
      <c r="M12">
        <v>0.04</v>
      </c>
      <c r="N12" s="13">
        <f t="shared" si="3"/>
        <v>0.31000000000000005</v>
      </c>
    </row>
    <row r="13" spans="1:17" x14ac:dyDescent="0.25">
      <c r="B13" s="16">
        <v>12</v>
      </c>
      <c r="C13" s="5">
        <v>46088</v>
      </c>
      <c r="D13" s="5" t="s">
        <v>332</v>
      </c>
      <c r="E13" s="11" t="s">
        <v>333</v>
      </c>
      <c r="F13" s="14">
        <v>0</v>
      </c>
      <c r="G13" s="14">
        <v>1</v>
      </c>
      <c r="H13" s="14">
        <f t="shared" si="1"/>
        <v>1</v>
      </c>
      <c r="I13">
        <v>1.25</v>
      </c>
      <c r="J13" s="6">
        <v>1</v>
      </c>
      <c r="K13" s="8">
        <f t="shared" si="4"/>
        <v>1</v>
      </c>
      <c r="L13" s="6">
        <f t="shared" si="2"/>
        <v>0.25</v>
      </c>
      <c r="M13">
        <v>0.04</v>
      </c>
      <c r="N13" s="13">
        <f t="shared" si="3"/>
        <v>0.56000000000000005</v>
      </c>
    </row>
    <row r="14" spans="1:17" x14ac:dyDescent="0.25">
      <c r="B14" s="16">
        <v>13</v>
      </c>
      <c r="C14" s="5">
        <v>46088</v>
      </c>
      <c r="D14" s="5" t="s">
        <v>335</v>
      </c>
      <c r="E14" s="11" t="s">
        <v>336</v>
      </c>
      <c r="F14" s="14">
        <v>0</v>
      </c>
      <c r="G14" s="14">
        <v>2</v>
      </c>
      <c r="H14" s="14">
        <f t="shared" si="1"/>
        <v>1</v>
      </c>
      <c r="I14">
        <v>1.32</v>
      </c>
      <c r="J14" s="6">
        <v>1</v>
      </c>
      <c r="K14" s="8">
        <f t="shared" si="4"/>
        <v>1</v>
      </c>
      <c r="L14" s="6">
        <f t="shared" si="2"/>
        <v>0.32000000000000006</v>
      </c>
      <c r="M14">
        <v>0.04</v>
      </c>
      <c r="N14" s="13">
        <f t="shared" si="3"/>
        <v>0.88000000000000012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D558-F100-479D-AF91-0DD5A2A3F2A2}">
  <dimension ref="A1:Q26"/>
  <sheetViews>
    <sheetView showGridLines="0" workbookViewId="0">
      <selection activeCell="I28" sqref="I28"/>
    </sheetView>
  </sheetViews>
  <sheetFormatPr defaultRowHeight="15" x14ac:dyDescent="0.25"/>
  <cols>
    <col min="1" max="1" width="1.42578125" customWidth="1"/>
    <col min="2" max="2" width="3" style="14" bestFit="1" customWidth="1"/>
    <col min="3" max="3" width="10.7109375" bestFit="1" customWidth="1"/>
    <col min="4" max="4" width="8.140625" style="14" bestFit="1" customWidth="1"/>
    <col min="5" max="5" width="24.28515625" bestFit="1" customWidth="1"/>
    <col min="6" max="6" width="24.7109375" bestFit="1" customWidth="1"/>
    <col min="7" max="7" width="27.42578125" bestFit="1" customWidth="1"/>
    <col min="8" max="9" width="3.7109375" style="14" bestFit="1" customWidth="1"/>
    <col min="10" max="10" width="2.140625" style="14" bestFit="1" customWidth="1"/>
    <col min="11" max="11" width="5.5703125" bestFit="1" customWidth="1"/>
    <col min="12" max="12" width="8.5703125" bestFit="1" customWidth="1"/>
    <col min="13" max="13" width="9.5703125" bestFit="1" customWidth="1"/>
    <col min="14" max="16" width="8.5703125" bestFit="1" customWidth="1"/>
    <col min="17" max="17" width="9.5703125" bestFit="1" customWidth="1"/>
  </cols>
  <sheetData>
    <row r="1" spans="1:17" ht="15.75" thickBot="1" x14ac:dyDescent="0.3">
      <c r="B1" s="1" t="s">
        <v>0</v>
      </c>
      <c r="C1" s="2" t="s">
        <v>1</v>
      </c>
      <c r="D1" s="2" t="s">
        <v>290</v>
      </c>
      <c r="E1" s="2" t="s">
        <v>291</v>
      </c>
      <c r="F1" s="2" t="s">
        <v>2</v>
      </c>
      <c r="G1" s="3" t="s">
        <v>3</v>
      </c>
      <c r="H1" s="2" t="s">
        <v>4</v>
      </c>
      <c r="I1" s="2" t="s">
        <v>5</v>
      </c>
      <c r="J1" s="4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72</v>
      </c>
      <c r="Q1" s="3" t="s">
        <v>12</v>
      </c>
    </row>
    <row r="2" spans="1:17" ht="15.75" thickTop="1" x14ac:dyDescent="0.25">
      <c r="A2" s="9"/>
      <c r="B2" s="24">
        <v>1</v>
      </c>
      <c r="C2" s="5">
        <v>46079</v>
      </c>
      <c r="D2" s="33"/>
      <c r="E2" s="5"/>
      <c r="F2" s="17" t="s">
        <v>68</v>
      </c>
      <c r="G2" s="20" t="s">
        <v>69</v>
      </c>
      <c r="H2" s="14">
        <v>3</v>
      </c>
      <c r="I2" s="14">
        <v>1</v>
      </c>
      <c r="J2" s="15">
        <f>IF(AND(I2=1,H2=0),0,1)</f>
        <v>1</v>
      </c>
      <c r="K2" s="18">
        <v>18.5</v>
      </c>
      <c r="L2" s="19">
        <v>1</v>
      </c>
      <c r="M2" s="6">
        <f>L2*(K2-1)</f>
        <v>17.5</v>
      </c>
      <c r="N2" s="6">
        <f>IF(J2=1,L2,-M2)</f>
        <v>1</v>
      </c>
      <c r="O2" s="6">
        <f>IF(N2&gt;0,0.04,"")</f>
        <v>0.04</v>
      </c>
      <c r="P2" s="6">
        <f>N2-O2</f>
        <v>0.96</v>
      </c>
      <c r="Q2" s="22">
        <f>N2-O2</f>
        <v>0.96</v>
      </c>
    </row>
    <row r="3" spans="1:17" x14ac:dyDescent="0.25">
      <c r="A3" s="9"/>
      <c r="B3" s="25">
        <v>2</v>
      </c>
      <c r="C3" s="5">
        <v>46079</v>
      </c>
      <c r="D3" s="33"/>
      <c r="E3" s="5"/>
      <c r="F3" s="17" t="s">
        <v>70</v>
      </c>
      <c r="G3" s="21" t="s">
        <v>71</v>
      </c>
      <c r="H3" s="14">
        <v>1</v>
      </c>
      <c r="I3" s="14">
        <v>1</v>
      </c>
      <c r="J3" s="16">
        <f>IF(AND(I3=1,H3=0),0,1)</f>
        <v>1</v>
      </c>
      <c r="K3" s="18">
        <v>19.5</v>
      </c>
      <c r="L3" s="19">
        <v>1</v>
      </c>
      <c r="M3" s="6">
        <f>L3*(K3-1)</f>
        <v>18.5</v>
      </c>
      <c r="N3" s="6">
        <f>IF(J3=1,L3,-M3)</f>
        <v>1</v>
      </c>
      <c r="O3" s="6">
        <f>IF(N3&gt;0,0.04,0)</f>
        <v>0.04</v>
      </c>
      <c r="P3" s="6">
        <f>N3-O3</f>
        <v>0.96</v>
      </c>
      <c r="Q3" s="13">
        <f>P3+Q2</f>
        <v>1.92</v>
      </c>
    </row>
    <row r="4" spans="1:17" x14ac:dyDescent="0.25">
      <c r="A4" s="9"/>
      <c r="B4" s="25">
        <v>3</v>
      </c>
      <c r="C4" s="5">
        <v>46080</v>
      </c>
      <c r="D4" s="33"/>
      <c r="E4" s="5"/>
      <c r="F4" s="17" t="s">
        <v>73</v>
      </c>
      <c r="G4" s="21" t="s">
        <v>74</v>
      </c>
      <c r="H4" s="14">
        <v>1</v>
      </c>
      <c r="I4" s="14">
        <v>1</v>
      </c>
      <c r="J4" s="16">
        <f t="shared" ref="J4:J21" si="0">IF(AND(I4=1,H4=0),0,1)</f>
        <v>1</v>
      </c>
      <c r="K4" s="18">
        <v>18.5</v>
      </c>
      <c r="L4" s="19">
        <v>1</v>
      </c>
      <c r="M4" s="6">
        <f t="shared" ref="M4:M22" si="1">L4*(K4-1)</f>
        <v>17.5</v>
      </c>
      <c r="N4" s="6">
        <f t="shared" ref="N4:N21" si="2">IF(J4=1,L4,-M4)</f>
        <v>1</v>
      </c>
      <c r="O4" s="6">
        <f t="shared" ref="O4:O21" si="3">IF(N4&gt;0,0.04,0)</f>
        <v>0.04</v>
      </c>
      <c r="P4" s="6">
        <f t="shared" ref="P4:P21" si="4">N4-O4</f>
        <v>0.96</v>
      </c>
      <c r="Q4" s="13">
        <f t="shared" ref="Q4:Q21" si="5">P4+Q3</f>
        <v>2.88</v>
      </c>
    </row>
    <row r="5" spans="1:17" x14ac:dyDescent="0.25">
      <c r="A5" s="9"/>
      <c r="B5" s="25">
        <v>4</v>
      </c>
      <c r="C5" s="5">
        <v>46080</v>
      </c>
      <c r="D5" s="33"/>
      <c r="E5" s="5"/>
      <c r="F5" s="17" t="s">
        <v>75</v>
      </c>
      <c r="G5" s="21" t="s">
        <v>76</v>
      </c>
      <c r="H5" s="14">
        <v>2</v>
      </c>
      <c r="I5" s="14">
        <v>0</v>
      </c>
      <c r="J5" s="16">
        <f t="shared" si="0"/>
        <v>1</v>
      </c>
      <c r="K5" s="18">
        <v>18</v>
      </c>
      <c r="L5" s="19">
        <v>1</v>
      </c>
      <c r="M5" s="6">
        <f t="shared" si="1"/>
        <v>17</v>
      </c>
      <c r="N5" s="6">
        <f t="shared" si="2"/>
        <v>1</v>
      </c>
      <c r="O5" s="6">
        <f t="shared" si="3"/>
        <v>0.04</v>
      </c>
      <c r="P5" s="6">
        <f t="shared" si="4"/>
        <v>0.96</v>
      </c>
      <c r="Q5" s="13">
        <f t="shared" si="5"/>
        <v>3.84</v>
      </c>
    </row>
    <row r="6" spans="1:17" x14ac:dyDescent="0.25">
      <c r="A6" s="9"/>
      <c r="B6" s="25">
        <v>5</v>
      </c>
      <c r="C6" s="5">
        <v>46080</v>
      </c>
      <c r="D6" s="33"/>
      <c r="E6" s="5"/>
      <c r="F6" s="17" t="s">
        <v>77</v>
      </c>
      <c r="G6" s="21" t="s">
        <v>78</v>
      </c>
      <c r="H6" s="14">
        <v>2</v>
      </c>
      <c r="I6" s="14">
        <v>2</v>
      </c>
      <c r="J6" s="16">
        <f t="shared" si="0"/>
        <v>1</v>
      </c>
      <c r="K6" s="18">
        <v>18</v>
      </c>
      <c r="L6" s="19">
        <v>1</v>
      </c>
      <c r="M6" s="6">
        <f t="shared" si="1"/>
        <v>17</v>
      </c>
      <c r="N6" s="6">
        <f t="shared" si="2"/>
        <v>1</v>
      </c>
      <c r="O6" s="6">
        <f t="shared" si="3"/>
        <v>0.04</v>
      </c>
      <c r="P6" s="6">
        <f t="shared" si="4"/>
        <v>0.96</v>
      </c>
      <c r="Q6" s="13">
        <f t="shared" si="5"/>
        <v>4.8</v>
      </c>
    </row>
    <row r="7" spans="1:17" x14ac:dyDescent="0.25">
      <c r="A7" s="9"/>
      <c r="B7" s="25">
        <v>6</v>
      </c>
      <c r="C7" s="5">
        <v>46081</v>
      </c>
      <c r="D7" s="33"/>
      <c r="E7" s="5"/>
      <c r="F7" s="17" t="s">
        <v>79</v>
      </c>
      <c r="G7" s="21" t="s">
        <v>80</v>
      </c>
      <c r="H7" s="14">
        <v>2</v>
      </c>
      <c r="I7" s="14">
        <v>2</v>
      </c>
      <c r="J7" s="16">
        <f t="shared" si="0"/>
        <v>1</v>
      </c>
      <c r="K7" s="18">
        <v>19</v>
      </c>
      <c r="L7" s="19">
        <v>1</v>
      </c>
      <c r="M7" s="6">
        <f t="shared" si="1"/>
        <v>18</v>
      </c>
      <c r="N7" s="6">
        <f t="shared" si="2"/>
        <v>1</v>
      </c>
      <c r="O7" s="6">
        <f t="shared" si="3"/>
        <v>0.04</v>
      </c>
      <c r="P7" s="6">
        <f t="shared" si="4"/>
        <v>0.96</v>
      </c>
      <c r="Q7" s="13">
        <f t="shared" si="5"/>
        <v>5.76</v>
      </c>
    </row>
    <row r="8" spans="1:17" x14ac:dyDescent="0.25">
      <c r="A8" s="9"/>
      <c r="B8" s="25">
        <v>7</v>
      </c>
      <c r="C8" s="5">
        <v>46081</v>
      </c>
      <c r="D8" s="33"/>
      <c r="E8" s="5"/>
      <c r="F8" s="17" t="s">
        <v>81</v>
      </c>
      <c r="G8" s="21" t="s">
        <v>82</v>
      </c>
      <c r="H8" s="14">
        <v>1</v>
      </c>
      <c r="I8" s="14">
        <v>1</v>
      </c>
      <c r="J8" s="16">
        <f t="shared" si="0"/>
        <v>1</v>
      </c>
      <c r="K8" s="18">
        <v>18</v>
      </c>
      <c r="L8" s="19">
        <v>1</v>
      </c>
      <c r="M8" s="6">
        <f t="shared" si="1"/>
        <v>17</v>
      </c>
      <c r="N8" s="6">
        <f t="shared" si="2"/>
        <v>1</v>
      </c>
      <c r="O8" s="6">
        <f t="shared" si="3"/>
        <v>0.04</v>
      </c>
      <c r="P8" s="6">
        <f t="shared" si="4"/>
        <v>0.96</v>
      </c>
      <c r="Q8" s="13">
        <f t="shared" si="5"/>
        <v>6.72</v>
      </c>
    </row>
    <row r="9" spans="1:17" x14ac:dyDescent="0.25">
      <c r="A9" s="9"/>
      <c r="B9" s="25">
        <v>8</v>
      </c>
      <c r="C9" s="5">
        <v>46083</v>
      </c>
      <c r="D9" s="33"/>
      <c r="E9" s="5"/>
      <c r="F9" s="17" t="s">
        <v>83</v>
      </c>
      <c r="G9" s="21" t="s">
        <v>84</v>
      </c>
      <c r="H9" s="14">
        <v>1</v>
      </c>
      <c r="I9" s="14">
        <v>1</v>
      </c>
      <c r="J9" s="16">
        <f t="shared" si="0"/>
        <v>1</v>
      </c>
      <c r="K9" s="18">
        <v>19</v>
      </c>
      <c r="L9" s="19">
        <v>1</v>
      </c>
      <c r="M9" s="6">
        <f t="shared" si="1"/>
        <v>18</v>
      </c>
      <c r="N9" s="6">
        <f t="shared" si="2"/>
        <v>1</v>
      </c>
      <c r="O9" s="6">
        <f t="shared" si="3"/>
        <v>0.04</v>
      </c>
      <c r="P9" s="6">
        <f t="shared" si="4"/>
        <v>0.96</v>
      </c>
      <c r="Q9" s="13">
        <f t="shared" si="5"/>
        <v>7.68</v>
      </c>
    </row>
    <row r="10" spans="1:17" x14ac:dyDescent="0.25">
      <c r="A10" s="9"/>
      <c r="B10" s="25">
        <v>9</v>
      </c>
      <c r="C10" s="5">
        <v>46084</v>
      </c>
      <c r="D10" s="33"/>
      <c r="E10" s="5"/>
      <c r="F10" s="17" t="s">
        <v>85</v>
      </c>
      <c r="G10" s="21" t="s">
        <v>86</v>
      </c>
      <c r="H10" s="14">
        <v>2</v>
      </c>
      <c r="I10" s="14">
        <v>1</v>
      </c>
      <c r="J10" s="16">
        <f t="shared" si="0"/>
        <v>1</v>
      </c>
      <c r="K10" s="18">
        <v>19</v>
      </c>
      <c r="L10" s="19">
        <v>1</v>
      </c>
      <c r="M10" s="6">
        <f t="shared" si="1"/>
        <v>18</v>
      </c>
      <c r="N10" s="6">
        <f t="shared" si="2"/>
        <v>1</v>
      </c>
      <c r="O10" s="6">
        <f t="shared" si="3"/>
        <v>0.04</v>
      </c>
      <c r="P10" s="6">
        <f t="shared" si="4"/>
        <v>0.96</v>
      </c>
      <c r="Q10" s="13">
        <f t="shared" si="5"/>
        <v>8.64</v>
      </c>
    </row>
    <row r="11" spans="1:17" x14ac:dyDescent="0.25">
      <c r="A11" s="9"/>
      <c r="B11" s="25">
        <v>10</v>
      </c>
      <c r="C11" s="5">
        <v>46084</v>
      </c>
      <c r="D11" s="33"/>
      <c r="E11" s="5"/>
      <c r="F11" s="17" t="s">
        <v>87</v>
      </c>
      <c r="G11" s="21" t="s">
        <v>88</v>
      </c>
      <c r="H11" s="14">
        <v>2</v>
      </c>
      <c r="I11" s="14">
        <v>1</v>
      </c>
      <c r="J11" s="16">
        <f t="shared" si="0"/>
        <v>1</v>
      </c>
      <c r="K11" s="18">
        <v>18</v>
      </c>
      <c r="L11" s="19">
        <v>1</v>
      </c>
      <c r="M11" s="6">
        <f t="shared" si="1"/>
        <v>17</v>
      </c>
      <c r="N11" s="6">
        <f t="shared" si="2"/>
        <v>1</v>
      </c>
      <c r="O11" s="6">
        <f t="shared" si="3"/>
        <v>0.04</v>
      </c>
      <c r="P11" s="6">
        <f t="shared" si="4"/>
        <v>0.96</v>
      </c>
      <c r="Q11" s="13">
        <f t="shared" si="5"/>
        <v>9.6000000000000014</v>
      </c>
    </row>
    <row r="12" spans="1:17" x14ac:dyDescent="0.25">
      <c r="A12" s="9"/>
      <c r="B12" s="25">
        <v>11</v>
      </c>
      <c r="C12" s="5">
        <v>46086</v>
      </c>
      <c r="D12" s="33"/>
      <c r="E12" s="5"/>
      <c r="F12" s="17" t="s">
        <v>229</v>
      </c>
      <c r="G12" s="21" t="s">
        <v>230</v>
      </c>
      <c r="H12" s="14">
        <v>0</v>
      </c>
      <c r="I12" s="14">
        <v>0</v>
      </c>
      <c r="J12" s="16">
        <f t="shared" si="0"/>
        <v>1</v>
      </c>
      <c r="K12" s="18">
        <v>18</v>
      </c>
      <c r="L12" s="19">
        <v>1</v>
      </c>
      <c r="M12" s="6">
        <f t="shared" si="1"/>
        <v>17</v>
      </c>
      <c r="N12" s="6">
        <f t="shared" si="2"/>
        <v>1</v>
      </c>
      <c r="O12" s="6">
        <f t="shared" si="3"/>
        <v>0.04</v>
      </c>
      <c r="P12" s="6">
        <f t="shared" si="4"/>
        <v>0.96</v>
      </c>
      <c r="Q12" s="13">
        <f t="shared" si="5"/>
        <v>10.560000000000002</v>
      </c>
    </row>
    <row r="13" spans="1:17" x14ac:dyDescent="0.25">
      <c r="A13" s="9"/>
      <c r="B13" s="25">
        <v>12</v>
      </c>
      <c r="C13" s="5">
        <v>46087</v>
      </c>
      <c r="D13" s="33"/>
      <c r="E13" s="5"/>
      <c r="F13" s="17" t="s">
        <v>250</v>
      </c>
      <c r="G13" s="21" t="s">
        <v>251</v>
      </c>
      <c r="H13" s="14">
        <v>2</v>
      </c>
      <c r="I13" s="14">
        <v>1</v>
      </c>
      <c r="J13" s="16">
        <f t="shared" si="0"/>
        <v>1</v>
      </c>
      <c r="K13" s="18">
        <v>18</v>
      </c>
      <c r="L13" s="19">
        <v>1</v>
      </c>
      <c r="M13" s="6">
        <f t="shared" si="1"/>
        <v>17</v>
      </c>
      <c r="N13" s="6">
        <f t="shared" si="2"/>
        <v>1</v>
      </c>
      <c r="O13" s="6">
        <f t="shared" si="3"/>
        <v>0.04</v>
      </c>
      <c r="P13" s="6">
        <f t="shared" si="4"/>
        <v>0.96</v>
      </c>
      <c r="Q13" s="13">
        <f t="shared" si="5"/>
        <v>11.520000000000003</v>
      </c>
    </row>
    <row r="14" spans="1:17" x14ac:dyDescent="0.25">
      <c r="B14" s="25">
        <v>13</v>
      </c>
      <c r="C14" s="5">
        <v>46087</v>
      </c>
      <c r="D14" s="33"/>
      <c r="E14" s="5"/>
      <c r="F14" s="17" t="s">
        <v>259</v>
      </c>
      <c r="G14" s="21" t="s">
        <v>260</v>
      </c>
      <c r="H14" s="14">
        <v>1</v>
      </c>
      <c r="I14" s="14">
        <v>1</v>
      </c>
      <c r="J14" s="16">
        <f t="shared" si="0"/>
        <v>1</v>
      </c>
      <c r="K14" s="18">
        <v>18.5</v>
      </c>
      <c r="L14" s="19">
        <v>1</v>
      </c>
      <c r="M14" s="6">
        <f t="shared" si="1"/>
        <v>17.5</v>
      </c>
      <c r="N14" s="6">
        <f t="shared" si="2"/>
        <v>1</v>
      </c>
      <c r="O14" s="6">
        <f t="shared" si="3"/>
        <v>0.04</v>
      </c>
      <c r="P14" s="6">
        <f t="shared" si="4"/>
        <v>0.96</v>
      </c>
      <c r="Q14" s="13">
        <f t="shared" si="5"/>
        <v>12.480000000000004</v>
      </c>
    </row>
    <row r="15" spans="1:17" x14ac:dyDescent="0.25">
      <c r="B15" s="25">
        <v>14</v>
      </c>
      <c r="C15" s="5">
        <v>46087</v>
      </c>
      <c r="D15" s="33"/>
      <c r="E15" s="5"/>
      <c r="F15" s="17" t="s">
        <v>261</v>
      </c>
      <c r="G15" s="21" t="s">
        <v>262</v>
      </c>
      <c r="H15" s="14">
        <v>2</v>
      </c>
      <c r="I15" s="14">
        <v>1</v>
      </c>
      <c r="J15" s="16">
        <f t="shared" si="0"/>
        <v>1</v>
      </c>
      <c r="K15" s="18">
        <v>19.5</v>
      </c>
      <c r="L15" s="19">
        <v>1</v>
      </c>
      <c r="M15" s="6">
        <f t="shared" si="1"/>
        <v>18.5</v>
      </c>
      <c r="N15" s="6">
        <f t="shared" si="2"/>
        <v>1</v>
      </c>
      <c r="O15" s="6">
        <f t="shared" si="3"/>
        <v>0.04</v>
      </c>
      <c r="P15" s="6">
        <f t="shared" si="4"/>
        <v>0.96</v>
      </c>
      <c r="Q15" s="13">
        <f t="shared" si="5"/>
        <v>13.440000000000005</v>
      </c>
    </row>
    <row r="16" spans="1:17" x14ac:dyDescent="0.25">
      <c r="B16" s="25">
        <v>15</v>
      </c>
      <c r="C16" s="5">
        <v>46088</v>
      </c>
      <c r="D16" s="34">
        <v>0.375</v>
      </c>
      <c r="E16" s="17" t="s">
        <v>292</v>
      </c>
      <c r="F16" s="17" t="s">
        <v>168</v>
      </c>
      <c r="G16" s="17" t="s">
        <v>179</v>
      </c>
      <c r="H16" s="14">
        <v>2</v>
      </c>
      <c r="I16" s="14">
        <v>0</v>
      </c>
      <c r="J16" s="14">
        <f t="shared" si="0"/>
        <v>1</v>
      </c>
      <c r="K16" s="35">
        <v>18.5</v>
      </c>
      <c r="L16" s="19">
        <v>1</v>
      </c>
      <c r="M16" s="6">
        <f t="shared" si="1"/>
        <v>17.5</v>
      </c>
      <c r="N16" s="6">
        <f t="shared" si="2"/>
        <v>1</v>
      </c>
      <c r="O16" s="6">
        <f t="shared" si="3"/>
        <v>0.04</v>
      </c>
      <c r="P16" s="6">
        <f t="shared" si="4"/>
        <v>0.96</v>
      </c>
      <c r="Q16" s="13">
        <f t="shared" si="5"/>
        <v>14.400000000000006</v>
      </c>
    </row>
    <row r="17" spans="2:17" x14ac:dyDescent="0.25">
      <c r="B17" s="25">
        <v>16</v>
      </c>
      <c r="C17" s="5">
        <v>46088</v>
      </c>
      <c r="D17" s="34">
        <v>0.5</v>
      </c>
      <c r="E17" s="17" t="s">
        <v>293</v>
      </c>
      <c r="F17" s="17" t="s">
        <v>294</v>
      </c>
      <c r="G17" s="17" t="s">
        <v>295</v>
      </c>
      <c r="H17" s="14">
        <v>2</v>
      </c>
      <c r="I17" s="14">
        <v>1</v>
      </c>
      <c r="J17" s="14">
        <f t="shared" si="0"/>
        <v>1</v>
      </c>
      <c r="K17" s="35">
        <v>18</v>
      </c>
      <c r="L17" s="19">
        <v>1</v>
      </c>
      <c r="M17" s="6">
        <f t="shared" si="1"/>
        <v>17</v>
      </c>
      <c r="N17" s="6">
        <f t="shared" si="2"/>
        <v>1</v>
      </c>
      <c r="O17" s="6">
        <f t="shared" si="3"/>
        <v>0.04</v>
      </c>
      <c r="P17" s="6">
        <f t="shared" si="4"/>
        <v>0.96</v>
      </c>
      <c r="Q17" s="13">
        <f t="shared" si="5"/>
        <v>15.360000000000007</v>
      </c>
    </row>
    <row r="18" spans="2:17" x14ac:dyDescent="0.25">
      <c r="B18" s="25">
        <v>17</v>
      </c>
      <c r="C18" s="5">
        <v>46088</v>
      </c>
      <c r="D18" s="34">
        <v>0.5</v>
      </c>
      <c r="E18" s="17" t="s">
        <v>296</v>
      </c>
      <c r="F18" s="17" t="s">
        <v>297</v>
      </c>
      <c r="G18" s="17" t="s">
        <v>298</v>
      </c>
      <c r="H18" s="14">
        <v>2</v>
      </c>
      <c r="I18" s="14">
        <v>3</v>
      </c>
      <c r="J18" s="14">
        <f t="shared" si="0"/>
        <v>1</v>
      </c>
      <c r="K18" s="35">
        <v>18.5</v>
      </c>
      <c r="L18" s="19">
        <v>1</v>
      </c>
      <c r="M18" s="6">
        <f t="shared" si="1"/>
        <v>17.5</v>
      </c>
      <c r="N18" s="6">
        <f t="shared" si="2"/>
        <v>1</v>
      </c>
      <c r="O18" s="6">
        <f t="shared" si="3"/>
        <v>0.04</v>
      </c>
      <c r="P18" s="6">
        <f t="shared" si="4"/>
        <v>0.96</v>
      </c>
      <c r="Q18" s="13">
        <f t="shared" si="5"/>
        <v>16.320000000000007</v>
      </c>
    </row>
    <row r="19" spans="2:17" x14ac:dyDescent="0.25">
      <c r="B19" s="25">
        <v>18</v>
      </c>
      <c r="C19" s="5">
        <v>46088</v>
      </c>
      <c r="D19" s="34">
        <v>0.5</v>
      </c>
      <c r="E19" s="17" t="s">
        <v>293</v>
      </c>
      <c r="F19" s="17" t="s">
        <v>299</v>
      </c>
      <c r="G19" s="17" t="s">
        <v>58</v>
      </c>
      <c r="H19" s="14">
        <v>3</v>
      </c>
      <c r="I19" s="14">
        <v>2</v>
      </c>
      <c r="J19" s="14">
        <f t="shared" si="0"/>
        <v>1</v>
      </c>
      <c r="K19" s="35">
        <v>19</v>
      </c>
      <c r="L19" s="19">
        <v>1</v>
      </c>
      <c r="M19" s="6">
        <f t="shared" si="1"/>
        <v>18</v>
      </c>
      <c r="N19" s="6">
        <f t="shared" si="2"/>
        <v>1</v>
      </c>
      <c r="O19" s="6">
        <f t="shared" si="3"/>
        <v>0.04</v>
      </c>
      <c r="P19" s="6">
        <f t="shared" si="4"/>
        <v>0.96</v>
      </c>
      <c r="Q19" s="13">
        <f t="shared" si="5"/>
        <v>17.280000000000008</v>
      </c>
    </row>
    <row r="20" spans="2:17" x14ac:dyDescent="0.25">
      <c r="B20" s="25">
        <v>19</v>
      </c>
      <c r="C20" s="5">
        <v>46088</v>
      </c>
      <c r="D20" s="34">
        <v>0.64583333333333337</v>
      </c>
      <c r="E20" s="17" t="s">
        <v>300</v>
      </c>
      <c r="F20" s="17" t="s">
        <v>301</v>
      </c>
      <c r="G20" s="17" t="s">
        <v>302</v>
      </c>
      <c r="H20" s="14">
        <v>0</v>
      </c>
      <c r="I20" s="14">
        <v>0</v>
      </c>
      <c r="J20" s="14">
        <f t="shared" si="0"/>
        <v>1</v>
      </c>
      <c r="K20" s="35">
        <v>18</v>
      </c>
      <c r="L20" s="19">
        <v>1</v>
      </c>
      <c r="M20" s="6">
        <f t="shared" si="1"/>
        <v>17</v>
      </c>
      <c r="N20" s="6">
        <f t="shared" si="2"/>
        <v>1</v>
      </c>
      <c r="O20" s="6">
        <f t="shared" si="3"/>
        <v>0.04</v>
      </c>
      <c r="P20" s="6">
        <f t="shared" si="4"/>
        <v>0.96</v>
      </c>
      <c r="Q20" s="13">
        <f t="shared" si="5"/>
        <v>18.240000000000009</v>
      </c>
    </row>
    <row r="21" spans="2:17" x14ac:dyDescent="0.25">
      <c r="B21" s="25">
        <v>20</v>
      </c>
      <c r="C21" s="5">
        <v>46088</v>
      </c>
      <c r="D21" s="34">
        <v>0.6875</v>
      </c>
      <c r="E21" s="17" t="s">
        <v>292</v>
      </c>
      <c r="F21" s="17" t="s">
        <v>303</v>
      </c>
      <c r="G21" s="17" t="s">
        <v>177</v>
      </c>
      <c r="H21" s="14">
        <v>3</v>
      </c>
      <c r="I21" s="14">
        <v>2</v>
      </c>
      <c r="J21" s="14">
        <f t="shared" si="0"/>
        <v>1</v>
      </c>
      <c r="K21" s="35">
        <v>19.5</v>
      </c>
      <c r="L21" s="19">
        <v>1</v>
      </c>
      <c r="M21" s="6">
        <f t="shared" si="1"/>
        <v>18.5</v>
      </c>
      <c r="N21" s="6">
        <f t="shared" si="2"/>
        <v>1</v>
      </c>
      <c r="O21" s="6">
        <f t="shared" si="3"/>
        <v>0.04</v>
      </c>
      <c r="P21" s="6">
        <f t="shared" si="4"/>
        <v>0.96</v>
      </c>
      <c r="Q21" s="13">
        <f t="shared" si="5"/>
        <v>19.20000000000001</v>
      </c>
    </row>
    <row r="22" spans="2:17" x14ac:dyDescent="0.25">
      <c r="B22" s="25">
        <v>21</v>
      </c>
      <c r="C22" s="5">
        <v>46088</v>
      </c>
      <c r="D22" s="34">
        <v>0.875</v>
      </c>
      <c r="E22" s="17" t="s">
        <v>304</v>
      </c>
      <c r="F22" s="17" t="s">
        <v>305</v>
      </c>
      <c r="G22" s="17" t="s">
        <v>306</v>
      </c>
      <c r="K22" s="35">
        <v>18</v>
      </c>
      <c r="L22" s="19">
        <v>1</v>
      </c>
      <c r="M22" s="6">
        <f t="shared" si="1"/>
        <v>17</v>
      </c>
    </row>
    <row r="23" spans="2:17" x14ac:dyDescent="0.25">
      <c r="D23" s="38">
        <v>0.5</v>
      </c>
      <c r="E23" s="17" t="s">
        <v>347</v>
      </c>
      <c r="F23" s="17" t="s">
        <v>348</v>
      </c>
      <c r="G23" s="17" t="s">
        <v>349</v>
      </c>
      <c r="K23" s="17" t="s">
        <v>358</v>
      </c>
    </row>
    <row r="24" spans="2:17" x14ac:dyDescent="0.25">
      <c r="D24" s="38">
        <v>0.60416666666666663</v>
      </c>
      <c r="E24" s="17" t="s">
        <v>347</v>
      </c>
      <c r="F24" s="17" t="s">
        <v>350</v>
      </c>
      <c r="G24" s="17" t="s">
        <v>351</v>
      </c>
      <c r="K24" s="17">
        <v>18</v>
      </c>
    </row>
    <row r="25" spans="2:17" x14ac:dyDescent="0.25">
      <c r="D25" s="38">
        <v>0.75</v>
      </c>
      <c r="E25" s="17" t="s">
        <v>352</v>
      </c>
      <c r="F25" s="17" t="s">
        <v>353</v>
      </c>
      <c r="G25" s="17" t="s">
        <v>354</v>
      </c>
      <c r="K25" s="17">
        <v>19</v>
      </c>
    </row>
    <row r="26" spans="2:17" x14ac:dyDescent="0.25">
      <c r="D26" s="38">
        <v>0.83333333333333337</v>
      </c>
      <c r="E26" s="17" t="s">
        <v>355</v>
      </c>
      <c r="F26" s="17" t="s">
        <v>356</v>
      </c>
      <c r="G26" s="17" t="s">
        <v>357</v>
      </c>
      <c r="K26" s="17" t="s">
        <v>359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9D54-B6B2-4721-A9CF-7F4503EE271B}">
  <dimension ref="A1:R45"/>
  <sheetViews>
    <sheetView showGridLines="0" workbookViewId="0">
      <pane ySplit="1" topLeftCell="A16" activePane="bottomLeft" state="frozen"/>
      <selection pane="bottomLeft" activeCell="L42" sqref="L42:L45"/>
    </sheetView>
  </sheetViews>
  <sheetFormatPr defaultRowHeight="15" x14ac:dyDescent="0.25"/>
  <cols>
    <col min="1" max="1" width="1.42578125" customWidth="1"/>
    <col min="2" max="2" width="3" style="14" bestFit="1" customWidth="1"/>
    <col min="3" max="3" width="10.7109375" bestFit="1" customWidth="1"/>
    <col min="4" max="4" width="8.140625" style="14" bestFit="1" customWidth="1"/>
    <col min="5" max="5" width="32" bestFit="1" customWidth="1"/>
    <col min="6" max="6" width="23.5703125" bestFit="1" customWidth="1"/>
    <col min="7" max="7" width="24.42578125" bestFit="1" customWidth="1"/>
    <col min="8" max="9" width="3.7109375" style="14" bestFit="1" customWidth="1"/>
    <col min="10" max="10" width="2" style="14" bestFit="1" customWidth="1"/>
    <col min="11" max="11" width="2.140625" style="14" bestFit="1" customWidth="1"/>
    <col min="12" max="12" width="5" bestFit="1" customWidth="1"/>
  </cols>
  <sheetData>
    <row r="1" spans="1:18" ht="15.75" thickBot="1" x14ac:dyDescent="0.3">
      <c r="B1" s="1" t="s">
        <v>0</v>
      </c>
      <c r="C1" s="2" t="s">
        <v>1</v>
      </c>
      <c r="D1" s="2" t="s">
        <v>290</v>
      </c>
      <c r="E1" s="2" t="s">
        <v>291</v>
      </c>
      <c r="F1" s="2" t="s">
        <v>2</v>
      </c>
      <c r="G1" s="3" t="s">
        <v>3</v>
      </c>
      <c r="H1" s="2" t="s">
        <v>4</v>
      </c>
      <c r="I1" s="2" t="s">
        <v>5</v>
      </c>
      <c r="J1" s="2" t="s">
        <v>136</v>
      </c>
      <c r="K1" s="4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72</v>
      </c>
      <c r="R1" s="3" t="s">
        <v>12</v>
      </c>
    </row>
    <row r="2" spans="1:18" ht="15.75" thickTop="1" x14ac:dyDescent="0.25">
      <c r="A2" s="9"/>
      <c r="B2" s="15">
        <v>1</v>
      </c>
      <c r="C2" s="5">
        <v>46079</v>
      </c>
      <c r="D2" s="33"/>
      <c r="E2" s="5"/>
      <c r="F2" s="17" t="s">
        <v>89</v>
      </c>
      <c r="G2" s="20" t="s">
        <v>90</v>
      </c>
      <c r="H2" s="14">
        <v>0</v>
      </c>
      <c r="I2" s="14">
        <v>0</v>
      </c>
      <c r="J2" s="14">
        <f>H2+I2</f>
        <v>0</v>
      </c>
      <c r="K2" s="15">
        <f>IF(J2&gt;0,1,0)</f>
        <v>0</v>
      </c>
      <c r="L2" s="18">
        <v>1.56</v>
      </c>
      <c r="M2" s="6">
        <v>1</v>
      </c>
      <c r="N2" s="8">
        <f>M2</f>
        <v>1</v>
      </c>
      <c r="O2" s="6">
        <f>IF(K2=1,L2-1*M2,-M2)</f>
        <v>-1</v>
      </c>
      <c r="P2" s="6">
        <f>IF(O2&gt;0,-0.04,0)</f>
        <v>0</v>
      </c>
      <c r="Q2" s="8">
        <f>O2+P2</f>
        <v>-1</v>
      </c>
      <c r="R2" s="22">
        <f>Q2</f>
        <v>-1</v>
      </c>
    </row>
    <row r="3" spans="1:18" x14ac:dyDescent="0.25">
      <c r="A3" s="9"/>
      <c r="B3" s="16">
        <v>2</v>
      </c>
      <c r="C3" s="5">
        <v>46079</v>
      </c>
      <c r="D3" s="33"/>
      <c r="E3" s="5"/>
      <c r="F3" s="17" t="s">
        <v>21</v>
      </c>
      <c r="G3" s="21" t="s">
        <v>22</v>
      </c>
      <c r="H3" s="14">
        <v>1</v>
      </c>
      <c r="I3" s="14">
        <v>1</v>
      </c>
      <c r="J3" s="14">
        <f t="shared" ref="J3:J41" si="0">H3+I3</f>
        <v>2</v>
      </c>
      <c r="K3" s="16">
        <f>IF(J3&gt;0,1,0)</f>
        <v>1</v>
      </c>
      <c r="L3" s="18">
        <v>1.44</v>
      </c>
      <c r="M3" s="6">
        <v>1</v>
      </c>
      <c r="N3" s="8">
        <f t="shared" ref="N3:N41" si="1">M3</f>
        <v>1</v>
      </c>
      <c r="O3" s="6">
        <f t="shared" ref="O3:O38" si="2">IF(K3=1,L3-1*M3,-M3)</f>
        <v>0.43999999999999995</v>
      </c>
      <c r="P3" s="6">
        <f t="shared" ref="P3:P38" si="3">IF(O3&gt;0,-0.04,0)</f>
        <v>-0.04</v>
      </c>
      <c r="Q3" s="8">
        <f>O3+P3</f>
        <v>0.39999999999999997</v>
      </c>
      <c r="R3" s="13">
        <f>Q3+R2</f>
        <v>-0.60000000000000009</v>
      </c>
    </row>
    <row r="4" spans="1:18" x14ac:dyDescent="0.25">
      <c r="A4" s="9"/>
      <c r="B4" s="16">
        <v>3</v>
      </c>
      <c r="C4" s="5">
        <v>46079</v>
      </c>
      <c r="D4" s="33"/>
      <c r="E4" s="5"/>
      <c r="F4" s="17" t="s">
        <v>91</v>
      </c>
      <c r="G4" s="21" t="s">
        <v>92</v>
      </c>
      <c r="H4" s="14">
        <v>0</v>
      </c>
      <c r="I4" s="14">
        <v>1</v>
      </c>
      <c r="J4" s="14">
        <f t="shared" si="0"/>
        <v>1</v>
      </c>
      <c r="K4" s="16">
        <f t="shared" ref="K4:K41" si="4">IF(J4&gt;0,1,0)</f>
        <v>1</v>
      </c>
      <c r="L4" s="18">
        <v>1.4</v>
      </c>
      <c r="M4" s="6">
        <v>1</v>
      </c>
      <c r="N4" s="8">
        <f t="shared" si="1"/>
        <v>1</v>
      </c>
      <c r="O4" s="6">
        <f t="shared" si="2"/>
        <v>0.39999999999999991</v>
      </c>
      <c r="P4" s="6">
        <f t="shared" si="3"/>
        <v>-0.04</v>
      </c>
      <c r="Q4" s="8">
        <f t="shared" ref="Q4:Q38" si="5">O4+P4</f>
        <v>0.35999999999999993</v>
      </c>
      <c r="R4" s="13">
        <f>Q4+R3</f>
        <v>-0.24000000000000016</v>
      </c>
    </row>
    <row r="5" spans="1:18" x14ac:dyDescent="0.25">
      <c r="A5" s="9"/>
      <c r="B5" s="16">
        <v>4</v>
      </c>
      <c r="C5" s="5">
        <v>46080</v>
      </c>
      <c r="D5" s="33"/>
      <c r="E5" s="5"/>
      <c r="F5" s="17" t="s">
        <v>93</v>
      </c>
      <c r="G5" s="21" t="s">
        <v>94</v>
      </c>
      <c r="H5" s="14">
        <v>0</v>
      </c>
      <c r="I5" s="14">
        <v>0</v>
      </c>
      <c r="J5" s="14">
        <f t="shared" si="0"/>
        <v>0</v>
      </c>
      <c r="K5" s="16">
        <f t="shared" si="4"/>
        <v>0</v>
      </c>
      <c r="L5" s="18">
        <v>1.57</v>
      </c>
      <c r="M5" s="6">
        <v>1</v>
      </c>
      <c r="N5" s="8">
        <f t="shared" si="1"/>
        <v>1</v>
      </c>
      <c r="O5" s="6">
        <f t="shared" si="2"/>
        <v>-1</v>
      </c>
      <c r="P5" s="6">
        <f t="shared" si="3"/>
        <v>0</v>
      </c>
      <c r="Q5" s="8">
        <f t="shared" si="5"/>
        <v>-1</v>
      </c>
      <c r="R5" s="13">
        <f t="shared" ref="R5:R41" si="6">Q5+R4</f>
        <v>-1.2400000000000002</v>
      </c>
    </row>
    <row r="6" spans="1:18" x14ac:dyDescent="0.25">
      <c r="A6" s="9"/>
      <c r="B6" s="16">
        <v>5</v>
      </c>
      <c r="C6" s="5">
        <v>46080</v>
      </c>
      <c r="D6" s="33"/>
      <c r="E6" s="5"/>
      <c r="F6" s="17" t="s">
        <v>95</v>
      </c>
      <c r="G6" s="21" t="s">
        <v>96</v>
      </c>
      <c r="H6" s="14">
        <v>1</v>
      </c>
      <c r="I6" s="14">
        <v>1</v>
      </c>
      <c r="J6" s="14">
        <f t="shared" si="0"/>
        <v>2</v>
      </c>
      <c r="K6" s="16">
        <f t="shared" si="4"/>
        <v>1</v>
      </c>
      <c r="L6" s="18">
        <v>1.42</v>
      </c>
      <c r="M6" s="6">
        <v>1</v>
      </c>
      <c r="N6" s="8">
        <f t="shared" si="1"/>
        <v>1</v>
      </c>
      <c r="O6" s="6">
        <f t="shared" si="2"/>
        <v>0.41999999999999993</v>
      </c>
      <c r="P6" s="6">
        <f t="shared" si="3"/>
        <v>-0.04</v>
      </c>
      <c r="Q6" s="8">
        <f t="shared" si="5"/>
        <v>0.37999999999999995</v>
      </c>
      <c r="R6" s="13">
        <f t="shared" si="6"/>
        <v>-0.86000000000000032</v>
      </c>
    </row>
    <row r="7" spans="1:18" x14ac:dyDescent="0.25">
      <c r="A7" s="9"/>
      <c r="B7" s="16">
        <v>6</v>
      </c>
      <c r="C7" s="5">
        <v>46080</v>
      </c>
      <c r="D7" s="33"/>
      <c r="E7" s="5"/>
      <c r="F7" s="17" t="s">
        <v>97</v>
      </c>
      <c r="G7" s="21" t="s">
        <v>98</v>
      </c>
      <c r="H7" s="14">
        <v>1</v>
      </c>
      <c r="I7" s="14">
        <v>1</v>
      </c>
      <c r="J7" s="14">
        <f t="shared" si="0"/>
        <v>2</v>
      </c>
      <c r="K7" s="16">
        <f t="shared" si="4"/>
        <v>1</v>
      </c>
      <c r="L7" s="18">
        <v>1.36</v>
      </c>
      <c r="M7" s="6">
        <v>1</v>
      </c>
      <c r="N7" s="8">
        <f t="shared" si="1"/>
        <v>1</v>
      </c>
      <c r="O7" s="6">
        <f t="shared" si="2"/>
        <v>0.3600000000000001</v>
      </c>
      <c r="P7" s="6">
        <f t="shared" si="3"/>
        <v>-0.04</v>
      </c>
      <c r="Q7" s="8">
        <f t="shared" si="5"/>
        <v>0.32000000000000012</v>
      </c>
      <c r="R7" s="13">
        <f t="shared" si="6"/>
        <v>-0.54000000000000026</v>
      </c>
    </row>
    <row r="8" spans="1:18" x14ac:dyDescent="0.25">
      <c r="A8" s="9"/>
      <c r="B8" s="16">
        <v>7</v>
      </c>
      <c r="C8" s="5">
        <v>46080</v>
      </c>
      <c r="D8" s="33"/>
      <c r="E8" s="5"/>
      <c r="F8" s="17" t="s">
        <v>99</v>
      </c>
      <c r="G8" s="21" t="s">
        <v>100</v>
      </c>
      <c r="H8" s="14">
        <v>2</v>
      </c>
      <c r="I8" s="14">
        <v>0</v>
      </c>
      <c r="J8" s="14">
        <f t="shared" si="0"/>
        <v>2</v>
      </c>
      <c r="K8" s="16">
        <f t="shared" si="4"/>
        <v>1</v>
      </c>
      <c r="L8" s="18">
        <v>1.41</v>
      </c>
      <c r="M8" s="6">
        <v>1</v>
      </c>
      <c r="N8" s="8">
        <f t="shared" si="1"/>
        <v>1</v>
      </c>
      <c r="O8" s="6">
        <f t="shared" si="2"/>
        <v>0.40999999999999992</v>
      </c>
      <c r="P8" s="6">
        <f t="shared" si="3"/>
        <v>-0.04</v>
      </c>
      <c r="Q8" s="8">
        <f t="shared" si="5"/>
        <v>0.36999999999999994</v>
      </c>
      <c r="R8" s="13">
        <f t="shared" si="6"/>
        <v>-0.17000000000000032</v>
      </c>
    </row>
    <row r="9" spans="1:18" x14ac:dyDescent="0.25">
      <c r="A9" s="9"/>
      <c r="B9" s="16">
        <v>8</v>
      </c>
      <c r="C9" s="5">
        <v>46081</v>
      </c>
      <c r="D9" s="33"/>
      <c r="E9" s="5"/>
      <c r="F9" s="17" t="s">
        <v>101</v>
      </c>
      <c r="G9" s="21" t="s">
        <v>102</v>
      </c>
      <c r="H9" s="14">
        <v>3</v>
      </c>
      <c r="I9" s="14">
        <v>1</v>
      </c>
      <c r="J9" s="14">
        <f t="shared" si="0"/>
        <v>4</v>
      </c>
      <c r="K9" s="16">
        <f t="shared" si="4"/>
        <v>1</v>
      </c>
      <c r="L9" s="18">
        <v>1.44</v>
      </c>
      <c r="M9" s="6">
        <v>1</v>
      </c>
      <c r="N9" s="8">
        <f t="shared" si="1"/>
        <v>1</v>
      </c>
      <c r="O9" s="6">
        <f t="shared" si="2"/>
        <v>0.43999999999999995</v>
      </c>
      <c r="P9" s="6">
        <f t="shared" si="3"/>
        <v>-0.04</v>
      </c>
      <c r="Q9" s="8">
        <f t="shared" si="5"/>
        <v>0.39999999999999997</v>
      </c>
      <c r="R9" s="13">
        <f t="shared" si="6"/>
        <v>0.22999999999999965</v>
      </c>
    </row>
    <row r="10" spans="1:18" x14ac:dyDescent="0.25">
      <c r="A10" s="9"/>
      <c r="B10" s="16">
        <v>9</v>
      </c>
      <c r="C10" s="5">
        <v>46081</v>
      </c>
      <c r="D10" s="33"/>
      <c r="E10" s="5"/>
      <c r="F10" s="17" t="s">
        <v>103</v>
      </c>
      <c r="G10" s="21" t="s">
        <v>104</v>
      </c>
      <c r="H10" s="14">
        <v>0</v>
      </c>
      <c r="I10" s="14">
        <v>1</v>
      </c>
      <c r="J10" s="14">
        <f t="shared" si="0"/>
        <v>1</v>
      </c>
      <c r="K10" s="16">
        <f t="shared" si="4"/>
        <v>1</v>
      </c>
      <c r="L10" s="18">
        <v>1.55</v>
      </c>
      <c r="M10" s="6">
        <v>1</v>
      </c>
      <c r="N10" s="8">
        <f t="shared" si="1"/>
        <v>1</v>
      </c>
      <c r="O10" s="6">
        <f t="shared" si="2"/>
        <v>0.55000000000000004</v>
      </c>
      <c r="P10" s="6">
        <f t="shared" si="3"/>
        <v>-0.04</v>
      </c>
      <c r="Q10" s="8">
        <f t="shared" si="5"/>
        <v>0.51</v>
      </c>
      <c r="R10" s="13">
        <f t="shared" si="6"/>
        <v>0.73999999999999966</v>
      </c>
    </row>
    <row r="11" spans="1:18" x14ac:dyDescent="0.25">
      <c r="A11" s="9"/>
      <c r="B11" s="16">
        <v>10</v>
      </c>
      <c r="C11" s="5">
        <v>46081</v>
      </c>
      <c r="D11" s="33"/>
      <c r="E11" s="5"/>
      <c r="F11" s="17" t="s">
        <v>105</v>
      </c>
      <c r="G11" s="21" t="s">
        <v>106</v>
      </c>
      <c r="H11" s="14">
        <v>1</v>
      </c>
      <c r="I11" s="14">
        <v>0</v>
      </c>
      <c r="J11" s="14">
        <f t="shared" si="0"/>
        <v>1</v>
      </c>
      <c r="K11" s="16">
        <f t="shared" si="4"/>
        <v>1</v>
      </c>
      <c r="L11" s="18">
        <v>1.37</v>
      </c>
      <c r="M11" s="6">
        <v>1</v>
      </c>
      <c r="N11" s="8">
        <f t="shared" si="1"/>
        <v>1</v>
      </c>
      <c r="O11" s="6">
        <f t="shared" si="2"/>
        <v>0.37000000000000011</v>
      </c>
      <c r="P11" s="6">
        <f t="shared" si="3"/>
        <v>-0.04</v>
      </c>
      <c r="Q11" s="8">
        <f t="shared" si="5"/>
        <v>0.33000000000000013</v>
      </c>
      <c r="R11" s="13">
        <f t="shared" si="6"/>
        <v>1.0699999999999998</v>
      </c>
    </row>
    <row r="12" spans="1:18" x14ac:dyDescent="0.25">
      <c r="A12" s="9"/>
      <c r="B12" s="16">
        <v>11</v>
      </c>
      <c r="C12" s="5">
        <v>46082</v>
      </c>
      <c r="D12" s="33"/>
      <c r="E12" s="5"/>
      <c r="F12" s="17" t="s">
        <v>107</v>
      </c>
      <c r="G12" s="21" t="s">
        <v>108</v>
      </c>
      <c r="H12" s="14">
        <v>0</v>
      </c>
      <c r="I12" s="14">
        <v>0</v>
      </c>
      <c r="J12" s="14">
        <f t="shared" si="0"/>
        <v>0</v>
      </c>
      <c r="K12" s="16">
        <f t="shared" si="4"/>
        <v>0</v>
      </c>
      <c r="L12" s="18">
        <v>1.57</v>
      </c>
      <c r="M12" s="6">
        <v>1</v>
      </c>
      <c r="N12" s="8">
        <f t="shared" si="1"/>
        <v>1</v>
      </c>
      <c r="O12" s="6">
        <f t="shared" si="2"/>
        <v>-1</v>
      </c>
      <c r="P12" s="6">
        <f t="shared" si="3"/>
        <v>0</v>
      </c>
      <c r="Q12" s="8">
        <f t="shared" si="5"/>
        <v>-1</v>
      </c>
      <c r="R12" s="13">
        <f t="shared" si="6"/>
        <v>6.999999999999984E-2</v>
      </c>
    </row>
    <row r="13" spans="1:18" x14ac:dyDescent="0.25">
      <c r="A13" s="9"/>
      <c r="B13" s="16">
        <v>12</v>
      </c>
      <c r="C13" s="5">
        <v>46082</v>
      </c>
      <c r="D13" s="33"/>
      <c r="E13" s="5"/>
      <c r="F13" s="17" t="s">
        <v>109</v>
      </c>
      <c r="G13" s="21" t="s">
        <v>110</v>
      </c>
      <c r="H13" s="14">
        <v>1</v>
      </c>
      <c r="I13" s="14">
        <v>2</v>
      </c>
      <c r="J13" s="14">
        <f t="shared" si="0"/>
        <v>3</v>
      </c>
      <c r="K13" s="16">
        <f t="shared" si="4"/>
        <v>1</v>
      </c>
      <c r="L13" s="18">
        <v>1.64</v>
      </c>
      <c r="M13" s="6">
        <v>1</v>
      </c>
      <c r="N13" s="8">
        <f t="shared" si="1"/>
        <v>1</v>
      </c>
      <c r="O13" s="6">
        <f t="shared" si="2"/>
        <v>0.6399999999999999</v>
      </c>
      <c r="P13" s="6">
        <f t="shared" si="3"/>
        <v>-0.04</v>
      </c>
      <c r="Q13" s="8">
        <f t="shared" si="5"/>
        <v>0.59999999999999987</v>
      </c>
      <c r="R13" s="13">
        <f t="shared" si="6"/>
        <v>0.66999999999999971</v>
      </c>
    </row>
    <row r="14" spans="1:18" x14ac:dyDescent="0.25">
      <c r="A14" s="9"/>
      <c r="B14" s="16">
        <v>13</v>
      </c>
      <c r="C14" s="5">
        <v>46082</v>
      </c>
      <c r="D14" s="33"/>
      <c r="E14" s="5"/>
      <c r="F14" s="17" t="s">
        <v>111</v>
      </c>
      <c r="G14" s="21" t="s">
        <v>112</v>
      </c>
      <c r="H14" s="14">
        <v>0</v>
      </c>
      <c r="I14" s="14">
        <v>0</v>
      </c>
      <c r="J14" s="14">
        <f t="shared" si="0"/>
        <v>0</v>
      </c>
      <c r="K14" s="16">
        <f t="shared" si="4"/>
        <v>0</v>
      </c>
      <c r="L14" s="18">
        <v>1.62</v>
      </c>
      <c r="M14" s="6">
        <v>1</v>
      </c>
      <c r="N14" s="8">
        <f t="shared" si="1"/>
        <v>1</v>
      </c>
      <c r="O14" s="6">
        <f t="shared" si="2"/>
        <v>-1</v>
      </c>
      <c r="P14" s="6">
        <f t="shared" si="3"/>
        <v>0</v>
      </c>
      <c r="Q14" s="8">
        <f t="shared" si="5"/>
        <v>-1</v>
      </c>
      <c r="R14" s="13">
        <f t="shared" si="6"/>
        <v>-0.33000000000000029</v>
      </c>
    </row>
    <row r="15" spans="1:18" x14ac:dyDescent="0.25">
      <c r="A15" s="9"/>
      <c r="B15" s="16">
        <v>14</v>
      </c>
      <c r="C15" s="5">
        <v>46082</v>
      </c>
      <c r="D15" s="33"/>
      <c r="E15" s="5"/>
      <c r="F15" s="17" t="s">
        <v>113</v>
      </c>
      <c r="G15" s="21" t="s">
        <v>114</v>
      </c>
      <c r="H15" s="14">
        <v>0</v>
      </c>
      <c r="I15" s="14">
        <v>0</v>
      </c>
      <c r="J15" s="14">
        <f t="shared" si="0"/>
        <v>0</v>
      </c>
      <c r="K15" s="16">
        <f t="shared" si="4"/>
        <v>0</v>
      </c>
      <c r="L15" s="18">
        <v>1.56</v>
      </c>
      <c r="M15" s="6">
        <v>1</v>
      </c>
      <c r="N15" s="8">
        <f t="shared" si="1"/>
        <v>1</v>
      </c>
      <c r="O15" s="6">
        <f t="shared" si="2"/>
        <v>-1</v>
      </c>
      <c r="P15" s="6">
        <f t="shared" si="3"/>
        <v>0</v>
      </c>
      <c r="Q15" s="8">
        <f t="shared" si="5"/>
        <v>-1</v>
      </c>
      <c r="R15" s="13">
        <f t="shared" si="6"/>
        <v>-1.3300000000000003</v>
      </c>
    </row>
    <row r="16" spans="1:18" x14ac:dyDescent="0.25">
      <c r="A16" s="9"/>
      <c r="B16" s="16">
        <v>15</v>
      </c>
      <c r="C16" s="5">
        <v>46082</v>
      </c>
      <c r="D16" s="33"/>
      <c r="E16" s="5"/>
      <c r="F16" s="17" t="s">
        <v>115</v>
      </c>
      <c r="G16" s="21" t="s">
        <v>116</v>
      </c>
      <c r="H16" s="14">
        <v>0</v>
      </c>
      <c r="I16" s="14">
        <v>0</v>
      </c>
      <c r="J16" s="14">
        <f t="shared" si="0"/>
        <v>0</v>
      </c>
      <c r="K16" s="16">
        <f t="shared" si="4"/>
        <v>0</v>
      </c>
      <c r="L16" s="18">
        <v>1.56</v>
      </c>
      <c r="M16" s="6">
        <v>1</v>
      </c>
      <c r="N16" s="8">
        <f t="shared" si="1"/>
        <v>1</v>
      </c>
      <c r="O16" s="6">
        <f t="shared" si="2"/>
        <v>-1</v>
      </c>
      <c r="P16" s="6">
        <f t="shared" si="3"/>
        <v>0</v>
      </c>
      <c r="Q16" s="8">
        <f t="shared" si="5"/>
        <v>-1</v>
      </c>
      <c r="R16" s="13">
        <f t="shared" si="6"/>
        <v>-2.33</v>
      </c>
    </row>
    <row r="17" spans="1:18" x14ac:dyDescent="0.25">
      <c r="A17" s="9"/>
      <c r="B17" s="16">
        <v>16</v>
      </c>
      <c r="C17" s="5">
        <v>46082</v>
      </c>
      <c r="D17" s="33"/>
      <c r="E17" s="5"/>
      <c r="F17" s="17" t="s">
        <v>117</v>
      </c>
      <c r="G17" s="21" t="s">
        <v>118</v>
      </c>
      <c r="H17" s="14">
        <v>1</v>
      </c>
      <c r="I17" s="14">
        <v>0</v>
      </c>
      <c r="J17" s="14">
        <f t="shared" si="0"/>
        <v>1</v>
      </c>
      <c r="K17" s="16">
        <f t="shared" si="4"/>
        <v>1</v>
      </c>
      <c r="L17" s="18">
        <v>1.38</v>
      </c>
      <c r="M17" s="6">
        <v>1</v>
      </c>
      <c r="N17" s="8">
        <f t="shared" si="1"/>
        <v>1</v>
      </c>
      <c r="O17" s="6">
        <f t="shared" si="2"/>
        <v>0.37999999999999989</v>
      </c>
      <c r="P17" s="6">
        <f t="shared" si="3"/>
        <v>-0.04</v>
      </c>
      <c r="Q17" s="8">
        <f t="shared" si="5"/>
        <v>0.33999999999999991</v>
      </c>
      <c r="R17" s="13">
        <f t="shared" si="6"/>
        <v>-1.9900000000000002</v>
      </c>
    </row>
    <row r="18" spans="1:18" x14ac:dyDescent="0.25">
      <c r="A18" s="9"/>
      <c r="B18" s="16">
        <v>17</v>
      </c>
      <c r="C18" s="5">
        <v>46082</v>
      </c>
      <c r="D18" s="33"/>
      <c r="E18" s="5"/>
      <c r="F18" s="17" t="s">
        <v>119</v>
      </c>
      <c r="G18" s="21" t="s">
        <v>120</v>
      </c>
      <c r="H18" s="14">
        <v>0</v>
      </c>
      <c r="I18" s="14">
        <v>1</v>
      </c>
      <c r="J18" s="14">
        <f t="shared" si="0"/>
        <v>1</v>
      </c>
      <c r="K18" s="16">
        <f t="shared" si="4"/>
        <v>1</v>
      </c>
      <c r="L18" s="18">
        <v>1.58</v>
      </c>
      <c r="M18" s="6">
        <v>1</v>
      </c>
      <c r="N18" s="8">
        <f t="shared" si="1"/>
        <v>1</v>
      </c>
      <c r="O18" s="6">
        <f t="shared" si="2"/>
        <v>0.58000000000000007</v>
      </c>
      <c r="P18" s="6">
        <f t="shared" si="3"/>
        <v>-0.04</v>
      </c>
      <c r="Q18" s="8">
        <f t="shared" si="5"/>
        <v>0.54</v>
      </c>
      <c r="R18" s="13">
        <f t="shared" si="6"/>
        <v>-1.4500000000000002</v>
      </c>
    </row>
    <row r="19" spans="1:18" x14ac:dyDescent="0.25">
      <c r="A19" s="9"/>
      <c r="B19" s="16">
        <v>18</v>
      </c>
      <c r="C19" s="5">
        <v>45718</v>
      </c>
      <c r="D19" s="33"/>
      <c r="E19" s="5"/>
      <c r="F19" s="17" t="s">
        <v>121</v>
      </c>
      <c r="G19" s="21" t="s">
        <v>122</v>
      </c>
      <c r="H19" s="14">
        <v>0</v>
      </c>
      <c r="I19" s="14">
        <v>0</v>
      </c>
      <c r="J19" s="14">
        <f t="shared" si="0"/>
        <v>0</v>
      </c>
      <c r="K19" s="16">
        <f t="shared" si="4"/>
        <v>0</v>
      </c>
      <c r="L19" s="18">
        <v>1.37</v>
      </c>
      <c r="M19" s="6">
        <v>1</v>
      </c>
      <c r="N19" s="8">
        <f t="shared" si="1"/>
        <v>1</v>
      </c>
      <c r="O19" s="6">
        <f t="shared" si="2"/>
        <v>-1</v>
      </c>
      <c r="P19" s="6">
        <f t="shared" si="3"/>
        <v>0</v>
      </c>
      <c r="Q19" s="8">
        <f t="shared" si="5"/>
        <v>-1</v>
      </c>
      <c r="R19" s="13">
        <f t="shared" si="6"/>
        <v>-2.4500000000000002</v>
      </c>
    </row>
    <row r="20" spans="1:18" x14ac:dyDescent="0.25">
      <c r="A20" s="9"/>
      <c r="B20" s="16">
        <v>19</v>
      </c>
      <c r="C20" s="5">
        <v>45718</v>
      </c>
      <c r="D20" s="33"/>
      <c r="E20" s="5"/>
      <c r="F20" s="17" t="s">
        <v>123</v>
      </c>
      <c r="G20" s="21" t="s">
        <v>124</v>
      </c>
      <c r="H20" s="14">
        <v>0</v>
      </c>
      <c r="I20" s="14">
        <v>0</v>
      </c>
      <c r="J20" s="14">
        <f t="shared" si="0"/>
        <v>0</v>
      </c>
      <c r="K20" s="16">
        <f t="shared" si="4"/>
        <v>0</v>
      </c>
      <c r="L20" s="18">
        <v>1.56</v>
      </c>
      <c r="M20" s="6">
        <v>1</v>
      </c>
      <c r="N20" s="8">
        <f t="shared" si="1"/>
        <v>1</v>
      </c>
      <c r="O20" s="6">
        <f t="shared" si="2"/>
        <v>-1</v>
      </c>
      <c r="P20" s="6">
        <f t="shared" si="3"/>
        <v>0</v>
      </c>
      <c r="Q20" s="8">
        <f t="shared" si="5"/>
        <v>-1</v>
      </c>
      <c r="R20" s="13">
        <f t="shared" si="6"/>
        <v>-3.45</v>
      </c>
    </row>
    <row r="21" spans="1:18" x14ac:dyDescent="0.25">
      <c r="A21" s="9"/>
      <c r="B21" s="16">
        <v>20</v>
      </c>
      <c r="C21" s="5">
        <v>45718</v>
      </c>
      <c r="D21" s="33"/>
      <c r="E21" s="5"/>
      <c r="F21" s="17" t="s">
        <v>125</v>
      </c>
      <c r="G21" s="21" t="s">
        <v>126</v>
      </c>
      <c r="H21" s="14">
        <v>0</v>
      </c>
      <c r="I21" s="14">
        <v>1</v>
      </c>
      <c r="J21" s="14">
        <f t="shared" si="0"/>
        <v>1</v>
      </c>
      <c r="K21" s="16">
        <f t="shared" si="4"/>
        <v>1</v>
      </c>
      <c r="L21" s="18">
        <v>1.62</v>
      </c>
      <c r="M21" s="6">
        <v>1</v>
      </c>
      <c r="N21" s="8">
        <f t="shared" si="1"/>
        <v>1</v>
      </c>
      <c r="O21" s="6">
        <f t="shared" si="2"/>
        <v>0.62000000000000011</v>
      </c>
      <c r="P21" s="6">
        <f t="shared" si="3"/>
        <v>-0.04</v>
      </c>
      <c r="Q21" s="8">
        <f t="shared" si="5"/>
        <v>0.58000000000000007</v>
      </c>
      <c r="R21" s="13">
        <f t="shared" si="6"/>
        <v>-2.87</v>
      </c>
    </row>
    <row r="22" spans="1:18" x14ac:dyDescent="0.25">
      <c r="A22" s="9"/>
      <c r="B22" s="16">
        <v>21</v>
      </c>
      <c r="C22" s="5">
        <v>45718</v>
      </c>
      <c r="D22" s="33"/>
      <c r="E22" s="5"/>
      <c r="F22" s="17" t="s">
        <v>15</v>
      </c>
      <c r="G22" s="21" t="s">
        <v>127</v>
      </c>
      <c r="H22" s="14">
        <v>0</v>
      </c>
      <c r="I22" s="14">
        <v>1</v>
      </c>
      <c r="J22" s="14">
        <f t="shared" si="0"/>
        <v>1</v>
      </c>
      <c r="K22" s="16">
        <f t="shared" si="4"/>
        <v>1</v>
      </c>
      <c r="L22" s="18">
        <v>1.42</v>
      </c>
      <c r="M22" s="6">
        <v>1</v>
      </c>
      <c r="N22" s="8">
        <f t="shared" si="1"/>
        <v>1</v>
      </c>
      <c r="O22" s="6">
        <f t="shared" si="2"/>
        <v>0.41999999999999993</v>
      </c>
      <c r="P22" s="6">
        <f t="shared" si="3"/>
        <v>-0.04</v>
      </c>
      <c r="Q22" s="8">
        <f t="shared" si="5"/>
        <v>0.37999999999999995</v>
      </c>
      <c r="R22" s="13">
        <f t="shared" si="6"/>
        <v>-2.4900000000000002</v>
      </c>
    </row>
    <row r="23" spans="1:18" x14ac:dyDescent="0.25">
      <c r="A23" s="9"/>
      <c r="B23" s="16">
        <v>22</v>
      </c>
      <c r="C23" s="5">
        <v>45718</v>
      </c>
      <c r="D23" s="33"/>
      <c r="E23" s="5"/>
      <c r="F23" s="17" t="s">
        <v>128</v>
      </c>
      <c r="G23" s="21" t="s">
        <v>129</v>
      </c>
      <c r="H23" s="14">
        <v>1</v>
      </c>
      <c r="I23" s="14">
        <v>1</v>
      </c>
      <c r="J23" s="14">
        <f t="shared" si="0"/>
        <v>2</v>
      </c>
      <c r="K23" s="16">
        <f t="shared" si="4"/>
        <v>1</v>
      </c>
      <c r="L23" s="18">
        <v>1.55</v>
      </c>
      <c r="M23" s="6">
        <v>1</v>
      </c>
      <c r="N23" s="8">
        <f t="shared" si="1"/>
        <v>1</v>
      </c>
      <c r="O23" s="6">
        <f t="shared" si="2"/>
        <v>0.55000000000000004</v>
      </c>
      <c r="P23" s="6">
        <f t="shared" si="3"/>
        <v>-0.04</v>
      </c>
      <c r="Q23" s="8">
        <f t="shared" si="5"/>
        <v>0.51</v>
      </c>
      <c r="R23" s="13">
        <f t="shared" si="6"/>
        <v>-1.9800000000000002</v>
      </c>
    </row>
    <row r="24" spans="1:18" x14ac:dyDescent="0.25">
      <c r="A24" s="9"/>
      <c r="B24" s="16">
        <v>23</v>
      </c>
      <c r="C24" s="5">
        <v>46084</v>
      </c>
      <c r="D24" s="33"/>
      <c r="E24" s="5"/>
      <c r="F24" s="17" t="s">
        <v>130</v>
      </c>
      <c r="G24" s="21" t="s">
        <v>131</v>
      </c>
      <c r="H24" s="14">
        <v>0</v>
      </c>
      <c r="I24" s="14">
        <v>0</v>
      </c>
      <c r="J24" s="14">
        <f t="shared" si="0"/>
        <v>0</v>
      </c>
      <c r="K24" s="16">
        <f t="shared" si="4"/>
        <v>0</v>
      </c>
      <c r="L24" s="18">
        <v>1.6</v>
      </c>
      <c r="M24" s="6">
        <v>1</v>
      </c>
      <c r="N24" s="8">
        <f t="shared" si="1"/>
        <v>1</v>
      </c>
      <c r="O24" s="6">
        <f t="shared" si="2"/>
        <v>-1</v>
      </c>
      <c r="P24" s="6">
        <f t="shared" si="3"/>
        <v>0</v>
      </c>
      <c r="Q24" s="8">
        <f t="shared" si="5"/>
        <v>-1</v>
      </c>
      <c r="R24" s="13">
        <f t="shared" si="6"/>
        <v>-2.9800000000000004</v>
      </c>
    </row>
    <row r="25" spans="1:18" x14ac:dyDescent="0.25">
      <c r="A25" s="9"/>
      <c r="B25" s="16">
        <v>24</v>
      </c>
      <c r="C25" s="5">
        <v>46084</v>
      </c>
      <c r="D25" s="33"/>
      <c r="E25" s="5"/>
      <c r="F25" s="17" t="s">
        <v>132</v>
      </c>
      <c r="G25" s="21" t="s">
        <v>133</v>
      </c>
      <c r="H25" s="14">
        <v>0</v>
      </c>
      <c r="I25" s="14">
        <v>1</v>
      </c>
      <c r="J25" s="14">
        <f t="shared" si="0"/>
        <v>1</v>
      </c>
      <c r="K25" s="16">
        <f t="shared" si="4"/>
        <v>1</v>
      </c>
      <c r="L25" s="18">
        <v>1.59</v>
      </c>
      <c r="M25" s="6">
        <v>1</v>
      </c>
      <c r="N25" s="8">
        <f t="shared" si="1"/>
        <v>1</v>
      </c>
      <c r="O25" s="6">
        <f t="shared" si="2"/>
        <v>0.59000000000000008</v>
      </c>
      <c r="P25" s="6">
        <f t="shared" si="3"/>
        <v>-0.04</v>
      </c>
      <c r="Q25" s="8">
        <f t="shared" si="5"/>
        <v>0.55000000000000004</v>
      </c>
      <c r="R25" s="13">
        <f t="shared" si="6"/>
        <v>-2.4300000000000006</v>
      </c>
    </row>
    <row r="26" spans="1:18" x14ac:dyDescent="0.25">
      <c r="A26" s="9"/>
      <c r="B26" s="16">
        <v>25</v>
      </c>
      <c r="C26" s="5">
        <v>46084</v>
      </c>
      <c r="D26" s="33"/>
      <c r="E26" s="5"/>
      <c r="F26" s="17" t="s">
        <v>134</v>
      </c>
      <c r="G26" s="21" t="s">
        <v>135</v>
      </c>
      <c r="H26" s="14">
        <v>0</v>
      </c>
      <c r="I26" s="14">
        <v>1</v>
      </c>
      <c r="J26" s="14">
        <f t="shared" si="0"/>
        <v>1</v>
      </c>
      <c r="K26" s="16">
        <f t="shared" si="4"/>
        <v>1</v>
      </c>
      <c r="L26" s="18">
        <v>1.58</v>
      </c>
      <c r="M26" s="6">
        <v>1</v>
      </c>
      <c r="N26" s="8">
        <f t="shared" si="1"/>
        <v>1</v>
      </c>
      <c r="O26" s="6">
        <f t="shared" si="2"/>
        <v>0.58000000000000007</v>
      </c>
      <c r="P26" s="6">
        <f t="shared" si="3"/>
        <v>-0.04</v>
      </c>
      <c r="Q26" s="8">
        <f t="shared" si="5"/>
        <v>0.54</v>
      </c>
      <c r="R26" s="13">
        <f t="shared" si="6"/>
        <v>-1.8900000000000006</v>
      </c>
    </row>
    <row r="27" spans="1:18" x14ac:dyDescent="0.25">
      <c r="A27" s="9"/>
      <c r="B27" s="16">
        <v>26</v>
      </c>
      <c r="C27" s="5">
        <v>46085</v>
      </c>
      <c r="D27" s="33"/>
      <c r="E27" s="5"/>
      <c r="F27" s="17" t="s">
        <v>137</v>
      </c>
      <c r="G27" s="21" t="s">
        <v>138</v>
      </c>
      <c r="H27" s="14">
        <v>2</v>
      </c>
      <c r="I27" s="14">
        <v>1</v>
      </c>
      <c r="J27" s="14">
        <f t="shared" si="0"/>
        <v>3</v>
      </c>
      <c r="K27" s="16">
        <f t="shared" si="4"/>
        <v>1</v>
      </c>
      <c r="L27" s="18">
        <v>1.38</v>
      </c>
      <c r="M27" s="6">
        <v>1</v>
      </c>
      <c r="N27" s="8">
        <f t="shared" si="1"/>
        <v>1</v>
      </c>
      <c r="O27" s="6">
        <f t="shared" si="2"/>
        <v>0.37999999999999989</v>
      </c>
      <c r="P27" s="6">
        <f t="shared" si="3"/>
        <v>-0.04</v>
      </c>
      <c r="Q27" s="8">
        <f t="shared" si="5"/>
        <v>0.33999999999999991</v>
      </c>
      <c r="R27" s="13">
        <f t="shared" si="6"/>
        <v>-1.5500000000000007</v>
      </c>
    </row>
    <row r="28" spans="1:18" x14ac:dyDescent="0.25">
      <c r="A28" s="9"/>
      <c r="B28" s="16">
        <v>27</v>
      </c>
      <c r="C28" s="5">
        <v>46085</v>
      </c>
      <c r="D28" s="33"/>
      <c r="E28" s="5"/>
      <c r="F28" s="17" t="s">
        <v>139</v>
      </c>
      <c r="G28" s="21" t="s">
        <v>140</v>
      </c>
      <c r="H28" s="14">
        <v>0</v>
      </c>
      <c r="I28" s="14">
        <v>0</v>
      </c>
      <c r="J28" s="14">
        <f t="shared" si="0"/>
        <v>0</v>
      </c>
      <c r="K28" s="16">
        <f t="shared" si="4"/>
        <v>0</v>
      </c>
      <c r="L28" s="18">
        <v>1.56</v>
      </c>
      <c r="M28" s="6">
        <v>1</v>
      </c>
      <c r="N28" s="8">
        <f t="shared" si="1"/>
        <v>1</v>
      </c>
      <c r="O28" s="6">
        <f t="shared" si="2"/>
        <v>-1</v>
      </c>
      <c r="P28" s="6">
        <f t="shared" si="3"/>
        <v>0</v>
      </c>
      <c r="Q28" s="8">
        <f t="shared" si="5"/>
        <v>-1</v>
      </c>
      <c r="R28" s="13">
        <f t="shared" si="6"/>
        <v>-2.5500000000000007</v>
      </c>
    </row>
    <row r="29" spans="1:18" x14ac:dyDescent="0.25">
      <c r="A29" s="9"/>
      <c r="B29" s="16">
        <v>28</v>
      </c>
      <c r="C29" s="5">
        <v>46085</v>
      </c>
      <c r="D29" s="33"/>
      <c r="E29" s="5"/>
      <c r="F29" s="17" t="s">
        <v>141</v>
      </c>
      <c r="G29" s="21" t="s">
        <v>142</v>
      </c>
      <c r="H29" s="14">
        <v>1</v>
      </c>
      <c r="I29" s="14">
        <v>0</v>
      </c>
      <c r="J29" s="14">
        <f t="shared" si="0"/>
        <v>1</v>
      </c>
      <c r="K29" s="16">
        <f t="shared" si="4"/>
        <v>1</v>
      </c>
      <c r="L29" s="18">
        <v>1.39</v>
      </c>
      <c r="M29" s="6">
        <v>1</v>
      </c>
      <c r="N29" s="8">
        <f t="shared" si="1"/>
        <v>1</v>
      </c>
      <c r="O29" s="6">
        <f t="shared" si="2"/>
        <v>0.3899999999999999</v>
      </c>
      <c r="P29" s="6">
        <f t="shared" si="3"/>
        <v>-0.04</v>
      </c>
      <c r="Q29" s="8">
        <f t="shared" si="5"/>
        <v>0.34999999999999992</v>
      </c>
      <c r="R29" s="13">
        <f t="shared" si="6"/>
        <v>-2.2000000000000006</v>
      </c>
    </row>
    <row r="30" spans="1:18" x14ac:dyDescent="0.25">
      <c r="A30" s="9"/>
      <c r="B30" s="16">
        <v>29</v>
      </c>
      <c r="C30" s="5">
        <v>46086</v>
      </c>
      <c r="D30" s="33"/>
      <c r="E30" s="5"/>
      <c r="F30" s="17" t="s">
        <v>231</v>
      </c>
      <c r="G30" s="21" t="s">
        <v>232</v>
      </c>
      <c r="H30" s="14">
        <v>1</v>
      </c>
      <c r="I30" s="14">
        <v>0</v>
      </c>
      <c r="J30" s="14">
        <f t="shared" si="0"/>
        <v>1</v>
      </c>
      <c r="K30" s="16">
        <f t="shared" si="4"/>
        <v>1</v>
      </c>
      <c r="L30" s="18">
        <v>1.35</v>
      </c>
      <c r="M30" s="6">
        <v>1</v>
      </c>
      <c r="N30" s="8">
        <f t="shared" si="1"/>
        <v>1</v>
      </c>
      <c r="O30" s="6">
        <f t="shared" si="2"/>
        <v>0.35000000000000009</v>
      </c>
      <c r="P30" s="6">
        <f t="shared" si="3"/>
        <v>-0.04</v>
      </c>
      <c r="Q30" s="8">
        <f t="shared" si="5"/>
        <v>0.31000000000000011</v>
      </c>
      <c r="R30" s="13">
        <f t="shared" si="6"/>
        <v>-1.8900000000000006</v>
      </c>
    </row>
    <row r="31" spans="1:18" x14ac:dyDescent="0.25">
      <c r="A31" s="9"/>
      <c r="B31" s="16">
        <v>30</v>
      </c>
      <c r="C31" s="5">
        <v>46086</v>
      </c>
      <c r="D31" s="33"/>
      <c r="E31" s="5"/>
      <c r="F31" s="17" t="s">
        <v>233</v>
      </c>
      <c r="G31" s="21" t="s">
        <v>234</v>
      </c>
      <c r="H31" s="14">
        <v>0</v>
      </c>
      <c r="I31" s="14">
        <v>1</v>
      </c>
      <c r="J31" s="14">
        <f t="shared" si="0"/>
        <v>1</v>
      </c>
      <c r="K31" s="16">
        <f t="shared" si="4"/>
        <v>1</v>
      </c>
      <c r="L31" s="18">
        <v>1.44</v>
      </c>
      <c r="M31" s="6">
        <v>1</v>
      </c>
      <c r="N31" s="8">
        <f t="shared" si="1"/>
        <v>1</v>
      </c>
      <c r="O31" s="6">
        <f t="shared" si="2"/>
        <v>0.43999999999999995</v>
      </c>
      <c r="P31" s="6">
        <f t="shared" si="3"/>
        <v>-0.04</v>
      </c>
      <c r="Q31" s="8">
        <f t="shared" si="5"/>
        <v>0.39999999999999997</v>
      </c>
      <c r="R31" s="13">
        <f t="shared" si="6"/>
        <v>-1.4900000000000007</v>
      </c>
    </row>
    <row r="32" spans="1:18" x14ac:dyDescent="0.25">
      <c r="A32" s="9"/>
      <c r="B32" s="16">
        <v>31</v>
      </c>
      <c r="C32" s="5">
        <v>46087</v>
      </c>
      <c r="D32" s="33"/>
      <c r="E32" s="5"/>
      <c r="F32" s="17" t="s">
        <v>201</v>
      </c>
      <c r="G32" s="21" t="s">
        <v>252</v>
      </c>
      <c r="H32" s="14">
        <v>0</v>
      </c>
      <c r="I32" s="14">
        <v>0</v>
      </c>
      <c r="J32" s="14">
        <f t="shared" si="0"/>
        <v>0</v>
      </c>
      <c r="K32" s="16">
        <f t="shared" si="4"/>
        <v>0</v>
      </c>
      <c r="L32" s="18">
        <v>1.62</v>
      </c>
      <c r="M32" s="6">
        <v>1</v>
      </c>
      <c r="N32" s="8">
        <f t="shared" si="1"/>
        <v>1</v>
      </c>
      <c r="O32" s="6">
        <f t="shared" si="2"/>
        <v>-1</v>
      </c>
      <c r="P32" s="6">
        <f t="shared" si="3"/>
        <v>0</v>
      </c>
      <c r="Q32" s="8">
        <f t="shared" si="5"/>
        <v>-1</v>
      </c>
      <c r="R32" s="13">
        <f t="shared" si="6"/>
        <v>-2.4900000000000007</v>
      </c>
    </row>
    <row r="33" spans="1:18" x14ac:dyDescent="0.25">
      <c r="A33" s="9"/>
      <c r="B33" s="16">
        <v>32</v>
      </c>
      <c r="C33" s="5">
        <v>46087</v>
      </c>
      <c r="D33" s="33"/>
      <c r="E33" s="5"/>
      <c r="F33" s="17" t="s">
        <v>263</v>
      </c>
      <c r="G33" s="21" t="s">
        <v>264</v>
      </c>
      <c r="H33" s="14">
        <v>2</v>
      </c>
      <c r="I33" s="14">
        <v>1</v>
      </c>
      <c r="J33" s="14">
        <f t="shared" si="0"/>
        <v>3</v>
      </c>
      <c r="K33" s="16">
        <f t="shared" si="4"/>
        <v>1</v>
      </c>
      <c r="L33" s="18">
        <v>1.36</v>
      </c>
      <c r="M33" s="6">
        <v>1</v>
      </c>
      <c r="N33" s="8">
        <f t="shared" si="1"/>
        <v>1</v>
      </c>
      <c r="O33" s="6">
        <f t="shared" si="2"/>
        <v>0.3600000000000001</v>
      </c>
      <c r="P33" s="6">
        <f t="shared" si="3"/>
        <v>-0.04</v>
      </c>
      <c r="Q33" s="8">
        <f t="shared" si="5"/>
        <v>0.32000000000000012</v>
      </c>
      <c r="R33" s="13">
        <f t="shared" si="6"/>
        <v>-2.1700000000000004</v>
      </c>
    </row>
    <row r="34" spans="1:18" x14ac:dyDescent="0.25">
      <c r="A34" s="9"/>
      <c r="B34" s="16">
        <v>33</v>
      </c>
      <c r="C34" s="5">
        <v>46087</v>
      </c>
      <c r="D34" s="33"/>
      <c r="E34" s="5"/>
      <c r="F34" s="17" t="s">
        <v>265</v>
      </c>
      <c r="G34" s="21" t="s">
        <v>266</v>
      </c>
      <c r="H34" s="14">
        <v>0</v>
      </c>
      <c r="I34" s="14">
        <v>1</v>
      </c>
      <c r="J34" s="14">
        <f t="shared" si="0"/>
        <v>1</v>
      </c>
      <c r="K34" s="16">
        <f t="shared" si="4"/>
        <v>1</v>
      </c>
      <c r="L34" s="18">
        <v>1.59</v>
      </c>
      <c r="M34" s="6">
        <v>1</v>
      </c>
      <c r="N34" s="8">
        <f t="shared" si="1"/>
        <v>1</v>
      </c>
      <c r="O34" s="6">
        <f t="shared" si="2"/>
        <v>0.59000000000000008</v>
      </c>
      <c r="P34" s="6">
        <f t="shared" si="3"/>
        <v>-0.04</v>
      </c>
      <c r="Q34" s="8">
        <f t="shared" si="5"/>
        <v>0.55000000000000004</v>
      </c>
      <c r="R34" s="13">
        <f t="shared" si="6"/>
        <v>-1.6200000000000003</v>
      </c>
    </row>
    <row r="35" spans="1:18" x14ac:dyDescent="0.25">
      <c r="A35" s="9"/>
      <c r="B35" s="16">
        <v>34</v>
      </c>
      <c r="C35" s="5">
        <v>46087</v>
      </c>
      <c r="D35" s="33"/>
      <c r="E35" s="5"/>
      <c r="F35" s="17" t="s">
        <v>267</v>
      </c>
      <c r="G35" s="21" t="s">
        <v>268</v>
      </c>
      <c r="H35" s="14">
        <v>1</v>
      </c>
      <c r="I35" s="14">
        <v>1</v>
      </c>
      <c r="J35" s="14">
        <f t="shared" si="0"/>
        <v>2</v>
      </c>
      <c r="K35" s="16">
        <f t="shared" si="4"/>
        <v>1</v>
      </c>
      <c r="L35" s="18">
        <v>1.58</v>
      </c>
      <c r="M35" s="6">
        <v>1</v>
      </c>
      <c r="N35" s="8">
        <f t="shared" si="1"/>
        <v>1</v>
      </c>
      <c r="O35" s="6">
        <f t="shared" si="2"/>
        <v>0.58000000000000007</v>
      </c>
      <c r="P35" s="6">
        <f t="shared" si="3"/>
        <v>-0.04</v>
      </c>
      <c r="Q35" s="8">
        <f t="shared" si="5"/>
        <v>0.54</v>
      </c>
      <c r="R35" s="13">
        <f t="shared" si="6"/>
        <v>-1.0800000000000003</v>
      </c>
    </row>
    <row r="36" spans="1:18" x14ac:dyDescent="0.25">
      <c r="A36" s="9"/>
      <c r="B36" s="16">
        <v>35</v>
      </c>
      <c r="C36" s="5">
        <v>46087</v>
      </c>
      <c r="D36" s="33"/>
      <c r="E36" s="5"/>
      <c r="F36" s="17" t="s">
        <v>269</v>
      </c>
      <c r="G36" s="21" t="s">
        <v>270</v>
      </c>
      <c r="H36" s="14">
        <v>1</v>
      </c>
      <c r="I36" s="14">
        <v>0</v>
      </c>
      <c r="J36" s="14">
        <f t="shared" si="0"/>
        <v>1</v>
      </c>
      <c r="K36" s="16">
        <f t="shared" si="4"/>
        <v>1</v>
      </c>
      <c r="L36" s="18">
        <v>1.57</v>
      </c>
      <c r="M36" s="6">
        <v>1</v>
      </c>
      <c r="N36" s="8">
        <f t="shared" si="1"/>
        <v>1</v>
      </c>
      <c r="O36" s="6">
        <f t="shared" si="2"/>
        <v>0.57000000000000006</v>
      </c>
      <c r="P36" s="6">
        <f t="shared" si="3"/>
        <v>-0.04</v>
      </c>
      <c r="Q36" s="8">
        <f t="shared" si="5"/>
        <v>0.53</v>
      </c>
      <c r="R36" s="13">
        <f t="shared" si="6"/>
        <v>-0.55000000000000027</v>
      </c>
    </row>
    <row r="37" spans="1:18" x14ac:dyDescent="0.25">
      <c r="A37" s="9"/>
      <c r="B37" s="16">
        <v>36</v>
      </c>
      <c r="C37" s="5">
        <v>46087</v>
      </c>
      <c r="D37" s="33"/>
      <c r="E37" s="5"/>
      <c r="F37" s="17" t="s">
        <v>271</v>
      </c>
      <c r="G37" s="21" t="s">
        <v>272</v>
      </c>
      <c r="H37" s="14">
        <v>0</v>
      </c>
      <c r="I37" s="14">
        <v>0</v>
      </c>
      <c r="J37" s="14">
        <f t="shared" si="0"/>
        <v>0</v>
      </c>
      <c r="K37" s="16">
        <f t="shared" si="4"/>
        <v>0</v>
      </c>
      <c r="L37" s="18">
        <v>1.63</v>
      </c>
      <c r="M37" s="6">
        <v>1</v>
      </c>
      <c r="N37" s="8">
        <f t="shared" si="1"/>
        <v>1</v>
      </c>
      <c r="O37" s="6">
        <f t="shared" si="2"/>
        <v>-1</v>
      </c>
      <c r="P37" s="6">
        <f t="shared" si="3"/>
        <v>0</v>
      </c>
      <c r="Q37" s="8">
        <f t="shared" si="5"/>
        <v>-1</v>
      </c>
      <c r="R37" s="13">
        <f t="shared" si="6"/>
        <v>-1.5500000000000003</v>
      </c>
    </row>
    <row r="38" spans="1:18" x14ac:dyDescent="0.25">
      <c r="A38" s="9"/>
      <c r="B38" s="16">
        <v>37</v>
      </c>
      <c r="C38" s="5">
        <v>46087</v>
      </c>
      <c r="D38" s="33"/>
      <c r="E38" s="5"/>
      <c r="F38" s="17" t="s">
        <v>273</v>
      </c>
      <c r="G38" s="21" t="s">
        <v>274</v>
      </c>
      <c r="H38" s="14">
        <v>0</v>
      </c>
      <c r="I38" s="14">
        <v>1</v>
      </c>
      <c r="J38" s="14">
        <f t="shared" si="0"/>
        <v>1</v>
      </c>
      <c r="K38" s="16">
        <f t="shared" si="4"/>
        <v>1</v>
      </c>
      <c r="L38" s="18">
        <v>1.59</v>
      </c>
      <c r="M38" s="6">
        <v>1</v>
      </c>
      <c r="N38" s="8">
        <f t="shared" si="1"/>
        <v>1</v>
      </c>
      <c r="O38" s="6">
        <f t="shared" si="2"/>
        <v>0.59000000000000008</v>
      </c>
      <c r="P38" s="6">
        <f t="shared" si="3"/>
        <v>-0.04</v>
      </c>
      <c r="Q38" s="8">
        <f t="shared" si="5"/>
        <v>0.55000000000000004</v>
      </c>
      <c r="R38" s="13">
        <f t="shared" si="6"/>
        <v>-1.0000000000000002</v>
      </c>
    </row>
    <row r="39" spans="1:18" x14ac:dyDescent="0.25">
      <c r="D39" s="34">
        <v>0.16666666666666666</v>
      </c>
      <c r="E39" s="17" t="s">
        <v>307</v>
      </c>
      <c r="F39" s="17" t="s">
        <v>308</v>
      </c>
      <c r="G39" s="17" t="s">
        <v>309</v>
      </c>
      <c r="H39" s="14">
        <v>0</v>
      </c>
      <c r="I39" s="14">
        <v>3</v>
      </c>
      <c r="J39" s="14">
        <f t="shared" si="0"/>
        <v>3</v>
      </c>
      <c r="K39" s="14">
        <f t="shared" si="4"/>
        <v>1</v>
      </c>
      <c r="L39" s="36">
        <v>1.64</v>
      </c>
      <c r="M39" s="6">
        <v>1</v>
      </c>
      <c r="N39" s="8">
        <f t="shared" si="1"/>
        <v>1</v>
      </c>
      <c r="O39" s="6">
        <f t="shared" ref="O39:O41" si="7">IF(K39=1,L39-1*M39,-M39)</f>
        <v>0.6399999999999999</v>
      </c>
      <c r="P39" s="6">
        <f t="shared" ref="P39:P41" si="8">IF(O39&gt;0,-0.04,0)</f>
        <v>-0.04</v>
      </c>
      <c r="Q39" s="8">
        <f t="shared" ref="Q39:Q41" si="9">O39+P39</f>
        <v>0.59999999999999987</v>
      </c>
      <c r="R39" s="13">
        <f t="shared" si="6"/>
        <v>-0.40000000000000036</v>
      </c>
    </row>
    <row r="40" spans="1:18" x14ac:dyDescent="0.25">
      <c r="D40" s="34">
        <v>0.45833333333333331</v>
      </c>
      <c r="E40" s="17" t="s">
        <v>310</v>
      </c>
      <c r="F40" s="17" t="s">
        <v>311</v>
      </c>
      <c r="G40" s="17" t="s">
        <v>312</v>
      </c>
      <c r="H40" s="14">
        <v>0</v>
      </c>
      <c r="I40" s="14">
        <v>0</v>
      </c>
      <c r="J40" s="14">
        <f t="shared" si="0"/>
        <v>0</v>
      </c>
      <c r="K40" s="14">
        <f t="shared" si="4"/>
        <v>0</v>
      </c>
      <c r="L40" s="36">
        <v>1.56</v>
      </c>
      <c r="M40" s="6">
        <v>1</v>
      </c>
      <c r="N40" s="8">
        <f t="shared" si="1"/>
        <v>1</v>
      </c>
      <c r="O40" s="6">
        <f t="shared" si="7"/>
        <v>-1</v>
      </c>
      <c r="P40" s="6">
        <f t="shared" si="8"/>
        <v>0</v>
      </c>
      <c r="Q40" s="8">
        <f t="shared" si="9"/>
        <v>-1</v>
      </c>
      <c r="R40" s="13">
        <f t="shared" si="6"/>
        <v>-1.4000000000000004</v>
      </c>
    </row>
    <row r="41" spans="1:18" x14ac:dyDescent="0.25">
      <c r="D41" s="34">
        <v>0.54166666666666663</v>
      </c>
      <c r="E41" s="17" t="s">
        <v>313</v>
      </c>
      <c r="F41" s="17" t="s">
        <v>314</v>
      </c>
      <c r="G41" s="17" t="s">
        <v>315</v>
      </c>
      <c r="H41" s="14">
        <v>4</v>
      </c>
      <c r="I41" s="14">
        <v>0</v>
      </c>
      <c r="J41" s="14">
        <f t="shared" si="0"/>
        <v>4</v>
      </c>
      <c r="K41" s="14">
        <f t="shared" si="4"/>
        <v>1</v>
      </c>
      <c r="L41" s="36">
        <v>1.36</v>
      </c>
      <c r="M41" s="6">
        <v>1</v>
      </c>
      <c r="N41" s="8">
        <f t="shared" si="1"/>
        <v>1</v>
      </c>
      <c r="O41" s="6">
        <f t="shared" si="7"/>
        <v>0.3600000000000001</v>
      </c>
      <c r="P41" s="6">
        <f t="shared" si="8"/>
        <v>-0.04</v>
      </c>
      <c r="Q41" s="8">
        <f t="shared" si="9"/>
        <v>0.32000000000000012</v>
      </c>
      <c r="R41" s="13">
        <f t="shared" si="6"/>
        <v>-1.0800000000000003</v>
      </c>
    </row>
    <row r="42" spans="1:18" x14ac:dyDescent="0.25">
      <c r="D42" s="38">
        <v>8.3333333333333329E-2</v>
      </c>
      <c r="E42" s="17" t="s">
        <v>360</v>
      </c>
      <c r="F42" s="17" t="s">
        <v>361</v>
      </c>
      <c r="G42" s="17" t="s">
        <v>362</v>
      </c>
      <c r="L42" s="17" t="s">
        <v>370</v>
      </c>
    </row>
    <row r="43" spans="1:18" x14ac:dyDescent="0.25">
      <c r="D43" s="38">
        <v>0.125</v>
      </c>
      <c r="E43" s="17" t="s">
        <v>363</v>
      </c>
      <c r="F43" s="17" t="s">
        <v>364</v>
      </c>
      <c r="G43" s="17" t="s">
        <v>365</v>
      </c>
      <c r="L43" s="17" t="s">
        <v>371</v>
      </c>
    </row>
    <row r="44" spans="1:18" x14ac:dyDescent="0.25">
      <c r="D44" s="38">
        <v>0.5</v>
      </c>
      <c r="E44" s="17" t="s">
        <v>366</v>
      </c>
      <c r="F44" s="17" t="s">
        <v>367</v>
      </c>
      <c r="G44" s="17" t="s">
        <v>368</v>
      </c>
      <c r="L44" s="17" t="s">
        <v>372</v>
      </c>
    </row>
    <row r="45" spans="1:18" x14ac:dyDescent="0.25">
      <c r="D45" s="38">
        <v>0.51041666666666663</v>
      </c>
      <c r="E45" s="17" t="s">
        <v>320</v>
      </c>
      <c r="F45" s="17" t="s">
        <v>127</v>
      </c>
      <c r="G45" s="17" t="s">
        <v>369</v>
      </c>
      <c r="L45" s="17" t="s">
        <v>373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2CC0-9C88-4676-BD03-B8265664B484}">
  <dimension ref="A1:Q60"/>
  <sheetViews>
    <sheetView showGridLines="0" workbookViewId="0">
      <pane ySplit="1" topLeftCell="A31" activePane="bottomLeft" state="frozen"/>
      <selection pane="bottomLeft" activeCell="E63" sqref="E63"/>
    </sheetView>
  </sheetViews>
  <sheetFormatPr defaultRowHeight="15" x14ac:dyDescent="0.25"/>
  <cols>
    <col min="1" max="1" width="1.42578125" customWidth="1"/>
    <col min="2" max="2" width="3" style="14" bestFit="1" customWidth="1"/>
    <col min="3" max="3" width="10.7109375" bestFit="1" customWidth="1"/>
    <col min="4" max="4" width="8.140625" style="14" bestFit="1" customWidth="1"/>
    <col min="5" max="5" width="53.7109375" customWidth="1"/>
    <col min="6" max="6" width="26.7109375" bestFit="1" customWidth="1"/>
    <col min="7" max="7" width="25" bestFit="1" customWidth="1"/>
    <col min="8" max="9" width="3.7109375" style="14" bestFit="1" customWidth="1"/>
    <col min="10" max="10" width="2.140625" style="14" bestFit="1" customWidth="1"/>
    <col min="11" max="11" width="5" bestFit="1" customWidth="1"/>
  </cols>
  <sheetData>
    <row r="1" spans="1:17" ht="15.75" thickBot="1" x14ac:dyDescent="0.3">
      <c r="B1" s="1" t="s">
        <v>0</v>
      </c>
      <c r="C1" s="2" t="s">
        <v>1</v>
      </c>
      <c r="D1" s="2" t="s">
        <v>290</v>
      </c>
      <c r="E1" s="2" t="s">
        <v>291</v>
      </c>
      <c r="F1" s="2" t="s">
        <v>2</v>
      </c>
      <c r="G1" s="3" t="s">
        <v>3</v>
      </c>
      <c r="H1" s="2" t="s">
        <v>4</v>
      </c>
      <c r="I1" s="2" t="s">
        <v>5</v>
      </c>
      <c r="J1" s="4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72</v>
      </c>
      <c r="Q1" s="3" t="s">
        <v>12</v>
      </c>
    </row>
    <row r="2" spans="1:17" ht="15.75" thickTop="1" x14ac:dyDescent="0.25">
      <c r="A2" s="9"/>
      <c r="B2" s="15">
        <v>1</v>
      </c>
      <c r="C2" s="5">
        <v>46079</v>
      </c>
      <c r="D2" s="33"/>
      <c r="E2" s="5"/>
      <c r="F2" s="17" t="s">
        <v>157</v>
      </c>
      <c r="G2" s="20" t="s">
        <v>158</v>
      </c>
      <c r="H2" s="14">
        <v>0</v>
      </c>
      <c r="I2" s="14">
        <v>1</v>
      </c>
      <c r="J2" s="15">
        <f>IF(H2&gt;I2,1,0)</f>
        <v>0</v>
      </c>
      <c r="K2" s="18">
        <v>3</v>
      </c>
      <c r="L2" s="19">
        <v>1</v>
      </c>
      <c r="M2" s="8">
        <f>L2</f>
        <v>1</v>
      </c>
      <c r="N2" s="6">
        <f>IF(J2=1,K2-1*L2,-L2)</f>
        <v>-1</v>
      </c>
      <c r="O2" s="6">
        <f>IF(N2&gt;0,-0.04,0)</f>
        <v>0</v>
      </c>
      <c r="P2" s="8">
        <f>N2+O2</f>
        <v>-1</v>
      </c>
      <c r="Q2" s="22">
        <f>P2</f>
        <v>-1</v>
      </c>
    </row>
    <row r="3" spans="1:17" x14ac:dyDescent="0.25">
      <c r="A3" s="9"/>
      <c r="B3" s="16">
        <v>2</v>
      </c>
      <c r="C3" s="5">
        <v>46079</v>
      </c>
      <c r="D3" s="33"/>
      <c r="E3" s="5"/>
      <c r="F3" s="17" t="s">
        <v>159</v>
      </c>
      <c r="G3" s="21" t="s">
        <v>160</v>
      </c>
      <c r="H3" s="14">
        <v>0</v>
      </c>
      <c r="I3" s="14">
        <v>2</v>
      </c>
      <c r="J3" s="16">
        <f t="shared" ref="J3:J55" si="0">IF(H3&gt;I3,1,0)</f>
        <v>0</v>
      </c>
      <c r="K3" s="18">
        <v>2.9</v>
      </c>
      <c r="L3" s="19">
        <v>1</v>
      </c>
      <c r="M3" s="8">
        <f>L3</f>
        <v>1</v>
      </c>
      <c r="N3" s="6">
        <f>IF(J3=1,K3-1*L3,-L3)</f>
        <v>-1</v>
      </c>
      <c r="O3" s="6">
        <f>IF(N3&gt;0,-0.04,0)</f>
        <v>0</v>
      </c>
      <c r="P3" s="8">
        <f>N3+O3</f>
        <v>-1</v>
      </c>
      <c r="Q3" s="13">
        <f>P3+Q2</f>
        <v>-2</v>
      </c>
    </row>
    <row r="4" spans="1:17" x14ac:dyDescent="0.25">
      <c r="A4" s="9"/>
      <c r="B4" s="16">
        <v>3</v>
      </c>
      <c r="C4" s="5">
        <v>46079</v>
      </c>
      <c r="D4" s="33"/>
      <c r="E4" s="5"/>
      <c r="F4" s="17" t="s">
        <v>161</v>
      </c>
      <c r="G4" s="21" t="s">
        <v>162</v>
      </c>
      <c r="H4" s="14">
        <v>0</v>
      </c>
      <c r="I4" s="14">
        <v>2</v>
      </c>
      <c r="J4" s="16">
        <f t="shared" si="0"/>
        <v>0</v>
      </c>
      <c r="K4" s="18">
        <v>3.45</v>
      </c>
      <c r="L4" s="19">
        <v>1</v>
      </c>
      <c r="M4" s="8">
        <f t="shared" ref="M4:M48" si="1">L4</f>
        <v>1</v>
      </c>
      <c r="N4" s="6">
        <f t="shared" ref="N4:N48" si="2">IF(J4=1,K4-1*L4,-L4)</f>
        <v>-1</v>
      </c>
      <c r="O4" s="6">
        <f t="shared" ref="O4:O55" si="3">IF(N4&gt;0,-0.04,0)</f>
        <v>0</v>
      </c>
      <c r="P4" s="8">
        <f t="shared" ref="P4:P55" si="4">N4+O4</f>
        <v>-1</v>
      </c>
      <c r="Q4" s="13">
        <f t="shared" ref="Q4:Q55" si="5">P4+Q3</f>
        <v>-3</v>
      </c>
    </row>
    <row r="5" spans="1:17" x14ac:dyDescent="0.25">
      <c r="A5" s="9"/>
      <c r="B5" s="16">
        <v>4</v>
      </c>
      <c r="C5" s="5">
        <v>46079</v>
      </c>
      <c r="D5" s="33"/>
      <c r="E5" s="5"/>
      <c r="F5" s="17" t="s">
        <v>163</v>
      </c>
      <c r="G5" s="21" t="s">
        <v>164</v>
      </c>
      <c r="H5" s="14">
        <v>2</v>
      </c>
      <c r="I5" s="14">
        <v>2</v>
      </c>
      <c r="J5" s="16">
        <f t="shared" si="0"/>
        <v>0</v>
      </c>
      <c r="K5" s="18">
        <v>3.45</v>
      </c>
      <c r="L5" s="19">
        <v>1</v>
      </c>
      <c r="M5" s="8">
        <f t="shared" si="1"/>
        <v>1</v>
      </c>
      <c r="N5" s="6">
        <f t="shared" si="2"/>
        <v>-1</v>
      </c>
      <c r="O5" s="6">
        <f t="shared" si="3"/>
        <v>0</v>
      </c>
      <c r="P5" s="8">
        <f t="shared" si="4"/>
        <v>-1</v>
      </c>
      <c r="Q5" s="13">
        <f t="shared" si="5"/>
        <v>-4</v>
      </c>
    </row>
    <row r="6" spans="1:17" x14ac:dyDescent="0.25">
      <c r="A6" s="9"/>
      <c r="B6" s="16">
        <v>5</v>
      </c>
      <c r="C6" s="5">
        <v>46080</v>
      </c>
      <c r="D6" s="33"/>
      <c r="E6" s="5"/>
      <c r="F6" s="17" t="s">
        <v>165</v>
      </c>
      <c r="G6" s="21" t="s">
        <v>166</v>
      </c>
      <c r="H6" s="14">
        <v>3</v>
      </c>
      <c r="I6" s="14">
        <v>1</v>
      </c>
      <c r="J6" s="16">
        <f t="shared" si="0"/>
        <v>1</v>
      </c>
      <c r="K6" s="18">
        <v>3.2</v>
      </c>
      <c r="L6" s="19">
        <v>1</v>
      </c>
      <c r="M6" s="8">
        <f t="shared" si="1"/>
        <v>1</v>
      </c>
      <c r="N6" s="6">
        <f t="shared" si="2"/>
        <v>2.2000000000000002</v>
      </c>
      <c r="O6" s="6">
        <f t="shared" si="3"/>
        <v>-0.04</v>
      </c>
      <c r="P6" s="8">
        <f t="shared" si="4"/>
        <v>2.16</v>
      </c>
      <c r="Q6" s="13">
        <f t="shared" si="5"/>
        <v>-1.8399999999999999</v>
      </c>
    </row>
    <row r="7" spans="1:17" x14ac:dyDescent="0.25">
      <c r="A7" s="9"/>
      <c r="B7" s="16">
        <v>6</v>
      </c>
      <c r="C7" s="5">
        <v>46080</v>
      </c>
      <c r="D7" s="33"/>
      <c r="E7" s="5"/>
      <c r="F7" s="17" t="s">
        <v>167</v>
      </c>
      <c r="G7" s="21" t="s">
        <v>168</v>
      </c>
      <c r="H7" s="14">
        <v>3</v>
      </c>
      <c r="I7" s="14">
        <v>1</v>
      </c>
      <c r="J7" s="16">
        <f t="shared" si="0"/>
        <v>1</v>
      </c>
      <c r="K7" s="18">
        <v>2.96</v>
      </c>
      <c r="L7" s="19">
        <v>1</v>
      </c>
      <c r="M7" s="8">
        <f t="shared" si="1"/>
        <v>1</v>
      </c>
      <c r="N7" s="6">
        <f t="shared" si="2"/>
        <v>1.96</v>
      </c>
      <c r="O7" s="6">
        <f t="shared" si="3"/>
        <v>-0.04</v>
      </c>
      <c r="P7" s="8">
        <f t="shared" si="4"/>
        <v>1.92</v>
      </c>
      <c r="Q7" s="13">
        <f t="shared" si="5"/>
        <v>8.0000000000000071E-2</v>
      </c>
    </row>
    <row r="8" spans="1:17" x14ac:dyDescent="0.25">
      <c r="A8" s="9"/>
      <c r="B8" s="16">
        <v>7</v>
      </c>
      <c r="C8" s="5">
        <v>46080</v>
      </c>
      <c r="D8" s="33"/>
      <c r="E8" s="5"/>
      <c r="F8" s="17" t="s">
        <v>169</v>
      </c>
      <c r="G8" s="21" t="s">
        <v>170</v>
      </c>
      <c r="H8" s="14">
        <v>2</v>
      </c>
      <c r="I8" s="14">
        <v>1</v>
      </c>
      <c r="J8" s="16">
        <f t="shared" si="0"/>
        <v>1</v>
      </c>
      <c r="K8" s="18">
        <v>3</v>
      </c>
      <c r="L8" s="19">
        <v>1</v>
      </c>
      <c r="M8" s="8">
        <f t="shared" si="1"/>
        <v>1</v>
      </c>
      <c r="N8" s="6">
        <f t="shared" si="2"/>
        <v>2</v>
      </c>
      <c r="O8" s="6">
        <f t="shared" si="3"/>
        <v>-0.04</v>
      </c>
      <c r="P8" s="8">
        <f t="shared" si="4"/>
        <v>1.96</v>
      </c>
      <c r="Q8" s="13">
        <f t="shared" si="5"/>
        <v>2.04</v>
      </c>
    </row>
    <row r="9" spans="1:17" x14ac:dyDescent="0.25">
      <c r="A9" s="9"/>
      <c r="B9" s="16">
        <v>8</v>
      </c>
      <c r="C9" s="5">
        <v>46080</v>
      </c>
      <c r="D9" s="33"/>
      <c r="E9" s="5"/>
      <c r="F9" s="17" t="s">
        <v>171</v>
      </c>
      <c r="G9" s="21" t="s">
        <v>172</v>
      </c>
      <c r="H9" s="14">
        <v>0</v>
      </c>
      <c r="I9" s="14">
        <v>0</v>
      </c>
      <c r="J9" s="16">
        <f t="shared" si="0"/>
        <v>0</v>
      </c>
      <c r="K9" s="18">
        <v>3.3</v>
      </c>
      <c r="L9" s="19">
        <v>1</v>
      </c>
      <c r="M9" s="8">
        <f t="shared" si="1"/>
        <v>1</v>
      </c>
      <c r="N9" s="6">
        <f t="shared" si="2"/>
        <v>-1</v>
      </c>
      <c r="O9" s="6">
        <f t="shared" si="3"/>
        <v>0</v>
      </c>
      <c r="P9" s="8">
        <f t="shared" si="4"/>
        <v>-1</v>
      </c>
      <c r="Q9" s="13">
        <f t="shared" si="5"/>
        <v>1.04</v>
      </c>
    </row>
    <row r="10" spans="1:17" x14ac:dyDescent="0.25">
      <c r="A10" s="9"/>
      <c r="B10" s="16">
        <v>9</v>
      </c>
      <c r="C10" s="5">
        <v>46080</v>
      </c>
      <c r="D10" s="33"/>
      <c r="E10" s="5"/>
      <c r="F10" s="17" t="s">
        <v>173</v>
      </c>
      <c r="G10" s="21" t="s">
        <v>174</v>
      </c>
      <c r="H10" s="14">
        <v>2</v>
      </c>
      <c r="I10" s="14">
        <v>2</v>
      </c>
      <c r="J10" s="16">
        <f t="shared" si="0"/>
        <v>0</v>
      </c>
      <c r="K10" s="18">
        <v>2.94</v>
      </c>
      <c r="L10" s="19">
        <v>1</v>
      </c>
      <c r="M10" s="8">
        <f t="shared" si="1"/>
        <v>1</v>
      </c>
      <c r="N10" s="6">
        <f t="shared" si="2"/>
        <v>-1</v>
      </c>
      <c r="O10" s="6">
        <f t="shared" si="3"/>
        <v>0</v>
      </c>
      <c r="P10" s="8">
        <f t="shared" si="4"/>
        <v>-1</v>
      </c>
      <c r="Q10" s="13">
        <f t="shared" si="5"/>
        <v>4.0000000000000036E-2</v>
      </c>
    </row>
    <row r="11" spans="1:17" x14ac:dyDescent="0.25">
      <c r="A11" s="9"/>
      <c r="B11" s="16">
        <v>10</v>
      </c>
      <c r="C11" s="5">
        <v>46080</v>
      </c>
      <c r="D11" s="33"/>
      <c r="E11" s="5"/>
      <c r="F11" s="17" t="s">
        <v>175</v>
      </c>
      <c r="G11" s="21" t="s">
        <v>176</v>
      </c>
      <c r="H11" s="14">
        <v>1</v>
      </c>
      <c r="I11" s="14">
        <v>1</v>
      </c>
      <c r="J11" s="16">
        <f t="shared" si="0"/>
        <v>0</v>
      </c>
      <c r="K11" s="18">
        <v>3.2</v>
      </c>
      <c r="L11" s="19">
        <v>1</v>
      </c>
      <c r="M11" s="8">
        <f t="shared" si="1"/>
        <v>1</v>
      </c>
      <c r="N11" s="6">
        <f t="shared" si="2"/>
        <v>-1</v>
      </c>
      <c r="O11" s="6">
        <f t="shared" si="3"/>
        <v>0</v>
      </c>
      <c r="P11" s="8">
        <f t="shared" si="4"/>
        <v>-1</v>
      </c>
      <c r="Q11" s="13">
        <f t="shared" si="5"/>
        <v>-0.96</v>
      </c>
    </row>
    <row r="12" spans="1:17" x14ac:dyDescent="0.25">
      <c r="A12" s="9"/>
      <c r="B12" s="16">
        <v>11</v>
      </c>
      <c r="C12" s="5">
        <v>46081</v>
      </c>
      <c r="D12" s="33"/>
      <c r="E12" s="5"/>
      <c r="F12" s="17" t="s">
        <v>177</v>
      </c>
      <c r="G12" s="21" t="s">
        <v>178</v>
      </c>
      <c r="H12" s="14">
        <v>1</v>
      </c>
      <c r="I12" s="14">
        <v>2</v>
      </c>
      <c r="J12" s="16">
        <f t="shared" si="0"/>
        <v>0</v>
      </c>
      <c r="K12" s="18">
        <v>3.1</v>
      </c>
      <c r="L12" s="19">
        <v>1</v>
      </c>
      <c r="M12" s="8">
        <f t="shared" si="1"/>
        <v>1</v>
      </c>
      <c r="N12" s="6">
        <f t="shared" si="2"/>
        <v>-1</v>
      </c>
      <c r="O12" s="6">
        <f t="shared" si="3"/>
        <v>0</v>
      </c>
      <c r="P12" s="8">
        <f t="shared" si="4"/>
        <v>-1</v>
      </c>
      <c r="Q12" s="13">
        <f t="shared" si="5"/>
        <v>-1.96</v>
      </c>
    </row>
    <row r="13" spans="1:17" x14ac:dyDescent="0.25">
      <c r="A13" s="9"/>
      <c r="B13" s="16">
        <v>12</v>
      </c>
      <c r="C13" s="5">
        <v>46081</v>
      </c>
      <c r="D13" s="33"/>
      <c r="E13" s="5"/>
      <c r="F13" s="17" t="s">
        <v>179</v>
      </c>
      <c r="G13" s="21" t="s">
        <v>180</v>
      </c>
      <c r="H13" s="14">
        <v>1</v>
      </c>
      <c r="I13" s="14">
        <v>1</v>
      </c>
      <c r="J13" s="16">
        <f t="shared" si="0"/>
        <v>0</v>
      </c>
      <c r="K13" s="18">
        <v>3.25</v>
      </c>
      <c r="L13" s="19">
        <v>1</v>
      </c>
      <c r="M13" s="8">
        <f t="shared" si="1"/>
        <v>1</v>
      </c>
      <c r="N13" s="6">
        <f t="shared" si="2"/>
        <v>-1</v>
      </c>
      <c r="O13" s="6">
        <f t="shared" si="3"/>
        <v>0</v>
      </c>
      <c r="P13" s="8">
        <f t="shared" si="4"/>
        <v>-1</v>
      </c>
      <c r="Q13" s="13">
        <f t="shared" si="5"/>
        <v>-2.96</v>
      </c>
    </row>
    <row r="14" spans="1:17" x14ac:dyDescent="0.25">
      <c r="A14" s="9"/>
      <c r="B14" s="16">
        <v>13</v>
      </c>
      <c r="C14" s="5">
        <v>46081</v>
      </c>
      <c r="D14" s="33"/>
      <c r="E14" s="5"/>
      <c r="F14" s="17" t="s">
        <v>181</v>
      </c>
      <c r="G14" s="21" t="s">
        <v>182</v>
      </c>
      <c r="H14" s="14">
        <v>1</v>
      </c>
      <c r="I14" s="14">
        <v>3</v>
      </c>
      <c r="J14" s="16">
        <f t="shared" si="0"/>
        <v>0</v>
      </c>
      <c r="K14" s="18">
        <v>3</v>
      </c>
      <c r="L14" s="19">
        <v>1</v>
      </c>
      <c r="M14" s="8">
        <f t="shared" si="1"/>
        <v>1</v>
      </c>
      <c r="N14" s="6">
        <f t="shared" si="2"/>
        <v>-1</v>
      </c>
      <c r="O14" s="6">
        <f t="shared" si="3"/>
        <v>0</v>
      </c>
      <c r="P14" s="8">
        <f t="shared" si="4"/>
        <v>-1</v>
      </c>
      <c r="Q14" s="13">
        <f t="shared" si="5"/>
        <v>-3.96</v>
      </c>
    </row>
    <row r="15" spans="1:17" x14ac:dyDescent="0.25">
      <c r="A15" s="9"/>
      <c r="B15" s="16">
        <v>14</v>
      </c>
      <c r="C15" s="5">
        <v>46081</v>
      </c>
      <c r="D15" s="33"/>
      <c r="E15" s="5"/>
      <c r="F15" s="17" t="s">
        <v>183</v>
      </c>
      <c r="G15" s="21" t="s">
        <v>140</v>
      </c>
      <c r="H15" s="14">
        <v>0</v>
      </c>
      <c r="I15" s="14">
        <v>3</v>
      </c>
      <c r="J15" s="16">
        <f t="shared" si="0"/>
        <v>0</v>
      </c>
      <c r="K15" s="18">
        <v>3.35</v>
      </c>
      <c r="L15" s="19">
        <v>1</v>
      </c>
      <c r="M15" s="8">
        <f t="shared" si="1"/>
        <v>1</v>
      </c>
      <c r="N15" s="6">
        <f t="shared" si="2"/>
        <v>-1</v>
      </c>
      <c r="O15" s="6">
        <f t="shared" si="3"/>
        <v>0</v>
      </c>
      <c r="P15" s="8">
        <f t="shared" si="4"/>
        <v>-1</v>
      </c>
      <c r="Q15" s="13">
        <f t="shared" si="5"/>
        <v>-4.96</v>
      </c>
    </row>
    <row r="16" spans="1:17" x14ac:dyDescent="0.25">
      <c r="A16" s="9"/>
      <c r="B16" s="16">
        <v>15</v>
      </c>
      <c r="C16" s="5">
        <v>46081</v>
      </c>
      <c r="D16" s="33"/>
      <c r="E16" s="5"/>
      <c r="F16" s="17" t="s">
        <v>184</v>
      </c>
      <c r="G16" s="21" t="s">
        <v>185</v>
      </c>
      <c r="H16" s="14">
        <v>0</v>
      </c>
      <c r="I16" s="14">
        <v>1</v>
      </c>
      <c r="J16" s="16">
        <f t="shared" si="0"/>
        <v>0</v>
      </c>
      <c r="K16" s="18">
        <v>2.96</v>
      </c>
      <c r="L16" s="19">
        <v>1</v>
      </c>
      <c r="M16" s="8">
        <f t="shared" si="1"/>
        <v>1</v>
      </c>
      <c r="N16" s="6">
        <f t="shared" si="2"/>
        <v>-1</v>
      </c>
      <c r="O16" s="6">
        <f t="shared" si="3"/>
        <v>0</v>
      </c>
      <c r="P16" s="8">
        <f t="shared" si="4"/>
        <v>-1</v>
      </c>
      <c r="Q16" s="13">
        <f t="shared" si="5"/>
        <v>-5.96</v>
      </c>
    </row>
    <row r="17" spans="1:17" x14ac:dyDescent="0.25">
      <c r="A17" s="9"/>
      <c r="B17" s="16">
        <v>16</v>
      </c>
      <c r="C17" s="5">
        <v>46081</v>
      </c>
      <c r="D17" s="33"/>
      <c r="E17" s="5"/>
      <c r="F17" s="17" t="s">
        <v>186</v>
      </c>
      <c r="G17" s="21" t="s">
        <v>187</v>
      </c>
      <c r="H17" s="14">
        <v>1</v>
      </c>
      <c r="I17" s="14">
        <v>0</v>
      </c>
      <c r="J17" s="16">
        <f t="shared" si="0"/>
        <v>1</v>
      </c>
      <c r="K17" s="18">
        <v>3.05</v>
      </c>
      <c r="L17" s="19">
        <v>1</v>
      </c>
      <c r="M17" s="8">
        <f t="shared" si="1"/>
        <v>1</v>
      </c>
      <c r="N17" s="6">
        <f t="shared" si="2"/>
        <v>2.0499999999999998</v>
      </c>
      <c r="O17" s="6">
        <f t="shared" si="3"/>
        <v>-0.04</v>
      </c>
      <c r="P17" s="8">
        <f t="shared" si="4"/>
        <v>2.0099999999999998</v>
      </c>
      <c r="Q17" s="13">
        <f t="shared" si="5"/>
        <v>-3.95</v>
      </c>
    </row>
    <row r="18" spans="1:17" x14ac:dyDescent="0.25">
      <c r="A18" s="9"/>
      <c r="B18" s="16">
        <v>17</v>
      </c>
      <c r="C18" s="5">
        <v>46081</v>
      </c>
      <c r="D18" s="33"/>
      <c r="E18" s="5"/>
      <c r="F18" s="17" t="s">
        <v>188</v>
      </c>
      <c r="G18" s="21" t="s">
        <v>189</v>
      </c>
      <c r="H18" s="14">
        <v>2</v>
      </c>
      <c r="I18" s="14">
        <v>1</v>
      </c>
      <c r="J18" s="16">
        <f t="shared" si="0"/>
        <v>1</v>
      </c>
      <c r="K18" s="18">
        <v>3.25</v>
      </c>
      <c r="L18" s="19">
        <v>1</v>
      </c>
      <c r="M18" s="8">
        <f t="shared" si="1"/>
        <v>1</v>
      </c>
      <c r="N18" s="6">
        <f t="shared" si="2"/>
        <v>2.25</v>
      </c>
      <c r="O18" s="6">
        <f t="shared" si="3"/>
        <v>-0.04</v>
      </c>
      <c r="P18" s="8">
        <f t="shared" si="4"/>
        <v>2.21</v>
      </c>
      <c r="Q18" s="13">
        <f t="shared" si="5"/>
        <v>-1.7400000000000002</v>
      </c>
    </row>
    <row r="19" spans="1:17" x14ac:dyDescent="0.25">
      <c r="A19" s="9"/>
      <c r="B19" s="16">
        <v>18</v>
      </c>
      <c r="C19" s="5">
        <v>46081</v>
      </c>
      <c r="D19" s="33"/>
      <c r="E19" s="5"/>
      <c r="F19" s="17" t="s">
        <v>190</v>
      </c>
      <c r="G19" s="21" t="s">
        <v>191</v>
      </c>
      <c r="H19" s="14">
        <v>0</v>
      </c>
      <c r="I19" s="14">
        <v>1</v>
      </c>
      <c r="J19" s="16">
        <f t="shared" si="0"/>
        <v>0</v>
      </c>
      <c r="K19" s="18">
        <v>3.4</v>
      </c>
      <c r="L19" s="19">
        <v>1</v>
      </c>
      <c r="M19" s="8">
        <f t="shared" si="1"/>
        <v>1</v>
      </c>
      <c r="N19" s="6">
        <f t="shared" si="2"/>
        <v>-1</v>
      </c>
      <c r="O19" s="6">
        <f t="shared" si="3"/>
        <v>0</v>
      </c>
      <c r="P19" s="8">
        <f t="shared" si="4"/>
        <v>-1</v>
      </c>
      <c r="Q19" s="13">
        <f t="shared" si="5"/>
        <v>-2.74</v>
      </c>
    </row>
    <row r="20" spans="1:17" x14ac:dyDescent="0.25">
      <c r="A20" s="9"/>
      <c r="B20" s="16">
        <v>19</v>
      </c>
      <c r="C20" s="5">
        <v>46081</v>
      </c>
      <c r="D20" s="33"/>
      <c r="E20" s="5"/>
      <c r="F20" s="17" t="s">
        <v>192</v>
      </c>
      <c r="G20" s="21" t="s">
        <v>193</v>
      </c>
      <c r="H20" s="14">
        <v>0</v>
      </c>
      <c r="I20" s="14">
        <v>2</v>
      </c>
      <c r="J20" s="16">
        <f t="shared" si="0"/>
        <v>0</v>
      </c>
      <c r="K20" s="18">
        <v>3.1</v>
      </c>
      <c r="L20" s="19">
        <v>1</v>
      </c>
      <c r="M20" s="8">
        <f t="shared" si="1"/>
        <v>1</v>
      </c>
      <c r="N20" s="6">
        <f t="shared" si="2"/>
        <v>-1</v>
      </c>
      <c r="O20" s="6">
        <f t="shared" si="3"/>
        <v>0</v>
      </c>
      <c r="P20" s="8">
        <f t="shared" si="4"/>
        <v>-1</v>
      </c>
      <c r="Q20" s="13">
        <f t="shared" si="5"/>
        <v>-3.74</v>
      </c>
    </row>
    <row r="21" spans="1:17" x14ac:dyDescent="0.25">
      <c r="A21" s="9"/>
      <c r="B21" s="16">
        <v>20</v>
      </c>
      <c r="C21" s="5">
        <v>46081</v>
      </c>
      <c r="D21" s="33"/>
      <c r="E21" s="5"/>
      <c r="F21" s="17" t="s">
        <v>194</v>
      </c>
      <c r="G21" s="21" t="s">
        <v>195</v>
      </c>
      <c r="H21" s="14">
        <v>0</v>
      </c>
      <c r="I21" s="14">
        <v>2</v>
      </c>
      <c r="J21" s="16">
        <f t="shared" si="0"/>
        <v>0</v>
      </c>
      <c r="K21" s="18">
        <v>3.35</v>
      </c>
      <c r="L21" s="19">
        <v>1</v>
      </c>
      <c r="M21" s="8">
        <f t="shared" si="1"/>
        <v>1</v>
      </c>
      <c r="N21" s="6">
        <f t="shared" si="2"/>
        <v>-1</v>
      </c>
      <c r="O21" s="6">
        <f t="shared" si="3"/>
        <v>0</v>
      </c>
      <c r="P21" s="8">
        <f t="shared" si="4"/>
        <v>-1</v>
      </c>
      <c r="Q21" s="13">
        <f t="shared" si="5"/>
        <v>-4.74</v>
      </c>
    </row>
    <row r="22" spans="1:17" x14ac:dyDescent="0.25">
      <c r="A22" s="9"/>
      <c r="B22" s="16">
        <v>21</v>
      </c>
      <c r="C22" s="5">
        <v>46081</v>
      </c>
      <c r="D22" s="33"/>
      <c r="E22" s="5"/>
      <c r="F22" s="17" t="s">
        <v>196</v>
      </c>
      <c r="G22" s="21" t="s">
        <v>197</v>
      </c>
      <c r="H22" s="14">
        <v>1</v>
      </c>
      <c r="I22" s="14">
        <v>0</v>
      </c>
      <c r="J22" s="16">
        <f t="shared" si="0"/>
        <v>1</v>
      </c>
      <c r="K22" s="18">
        <v>3.25</v>
      </c>
      <c r="L22" s="19">
        <v>1</v>
      </c>
      <c r="M22" s="8">
        <f t="shared" si="1"/>
        <v>1</v>
      </c>
      <c r="N22" s="6">
        <f t="shared" si="2"/>
        <v>2.25</v>
      </c>
      <c r="O22" s="6">
        <f t="shared" si="3"/>
        <v>-0.04</v>
      </c>
      <c r="P22" s="8">
        <f t="shared" si="4"/>
        <v>2.21</v>
      </c>
      <c r="Q22" s="13">
        <f t="shared" si="5"/>
        <v>-2.5300000000000002</v>
      </c>
    </row>
    <row r="23" spans="1:17" x14ac:dyDescent="0.25">
      <c r="A23" s="9"/>
      <c r="B23" s="16">
        <v>22</v>
      </c>
      <c r="C23" s="5">
        <v>46081</v>
      </c>
      <c r="D23" s="33"/>
      <c r="E23" s="5"/>
      <c r="F23" s="17" t="s">
        <v>198</v>
      </c>
      <c r="G23" s="21" t="s">
        <v>199</v>
      </c>
      <c r="H23" s="14">
        <v>1</v>
      </c>
      <c r="I23" s="14">
        <v>0</v>
      </c>
      <c r="J23" s="16">
        <f t="shared" si="0"/>
        <v>1</v>
      </c>
      <c r="K23" s="18">
        <v>3.15</v>
      </c>
      <c r="L23" s="19">
        <v>1</v>
      </c>
      <c r="M23" s="8">
        <f t="shared" si="1"/>
        <v>1</v>
      </c>
      <c r="N23" s="6">
        <f t="shared" si="2"/>
        <v>2.15</v>
      </c>
      <c r="O23" s="6">
        <f t="shared" si="3"/>
        <v>-0.04</v>
      </c>
      <c r="P23" s="8">
        <f t="shared" si="4"/>
        <v>2.11</v>
      </c>
      <c r="Q23" s="13">
        <f t="shared" si="5"/>
        <v>-0.42000000000000037</v>
      </c>
    </row>
    <row r="24" spans="1:17" x14ac:dyDescent="0.25">
      <c r="A24" s="9"/>
      <c r="B24" s="16">
        <v>23</v>
      </c>
      <c r="C24" s="5">
        <v>46081</v>
      </c>
      <c r="D24" s="33"/>
      <c r="E24" s="5"/>
      <c r="F24" s="17" t="s">
        <v>200</v>
      </c>
      <c r="G24" s="21" t="s">
        <v>201</v>
      </c>
      <c r="H24" s="14">
        <v>1</v>
      </c>
      <c r="I24" s="14">
        <v>2</v>
      </c>
      <c r="J24" s="16">
        <f t="shared" si="0"/>
        <v>0</v>
      </c>
      <c r="K24" s="18">
        <v>3.3</v>
      </c>
      <c r="L24" s="19">
        <v>1</v>
      </c>
      <c r="M24" s="8">
        <f t="shared" si="1"/>
        <v>1</v>
      </c>
      <c r="N24" s="6">
        <f t="shared" si="2"/>
        <v>-1</v>
      </c>
      <c r="O24" s="6">
        <f t="shared" si="3"/>
        <v>0</v>
      </c>
      <c r="P24" s="8">
        <f t="shared" si="4"/>
        <v>-1</v>
      </c>
      <c r="Q24" s="13">
        <f t="shared" si="5"/>
        <v>-1.4200000000000004</v>
      </c>
    </row>
    <row r="25" spans="1:17" x14ac:dyDescent="0.25">
      <c r="A25" s="9"/>
      <c r="B25" s="16">
        <v>24</v>
      </c>
      <c r="C25" s="5">
        <v>46081</v>
      </c>
      <c r="D25" s="33"/>
      <c r="E25" s="5"/>
      <c r="F25" s="17" t="s">
        <v>202</v>
      </c>
      <c r="G25" s="21" t="s">
        <v>203</v>
      </c>
      <c r="H25" s="14">
        <v>0</v>
      </c>
      <c r="I25" s="14">
        <v>1</v>
      </c>
      <c r="J25" s="16">
        <f t="shared" si="0"/>
        <v>0</v>
      </c>
      <c r="K25" s="18">
        <v>3.25</v>
      </c>
      <c r="L25" s="19">
        <v>1</v>
      </c>
      <c r="M25" s="8">
        <f t="shared" si="1"/>
        <v>1</v>
      </c>
      <c r="N25" s="6">
        <f t="shared" si="2"/>
        <v>-1</v>
      </c>
      <c r="O25" s="6">
        <f t="shared" si="3"/>
        <v>0</v>
      </c>
      <c r="P25" s="8">
        <f t="shared" si="4"/>
        <v>-1</v>
      </c>
      <c r="Q25" s="13">
        <f t="shared" si="5"/>
        <v>-2.4200000000000004</v>
      </c>
    </row>
    <row r="26" spans="1:17" x14ac:dyDescent="0.25">
      <c r="A26" s="9"/>
      <c r="B26" s="16">
        <v>25</v>
      </c>
      <c r="C26" s="5">
        <v>46081</v>
      </c>
      <c r="D26" s="33"/>
      <c r="E26" s="5"/>
      <c r="F26" s="17" t="s">
        <v>204</v>
      </c>
      <c r="G26" s="21" t="s">
        <v>205</v>
      </c>
      <c r="H26" s="14">
        <v>1</v>
      </c>
      <c r="I26" s="14">
        <v>0</v>
      </c>
      <c r="J26" s="16">
        <f t="shared" si="0"/>
        <v>1</v>
      </c>
      <c r="K26" s="18">
        <v>3.05</v>
      </c>
      <c r="L26" s="19">
        <v>1</v>
      </c>
      <c r="M26" s="8">
        <f t="shared" si="1"/>
        <v>1</v>
      </c>
      <c r="N26" s="6">
        <f t="shared" si="2"/>
        <v>2.0499999999999998</v>
      </c>
      <c r="O26" s="6">
        <f t="shared" si="3"/>
        <v>-0.04</v>
      </c>
      <c r="P26" s="8">
        <f t="shared" si="4"/>
        <v>2.0099999999999998</v>
      </c>
      <c r="Q26" s="13">
        <f t="shared" si="5"/>
        <v>-0.41000000000000059</v>
      </c>
    </row>
    <row r="27" spans="1:17" x14ac:dyDescent="0.25">
      <c r="A27" s="9"/>
      <c r="B27" s="16">
        <v>26</v>
      </c>
      <c r="C27" s="5">
        <v>46082</v>
      </c>
      <c r="D27" s="33"/>
      <c r="E27" s="5"/>
      <c r="F27" s="17" t="s">
        <v>206</v>
      </c>
      <c r="G27" s="21" t="s">
        <v>207</v>
      </c>
      <c r="H27" s="14">
        <v>2</v>
      </c>
      <c r="I27" s="14">
        <v>1</v>
      </c>
      <c r="J27" s="16">
        <f t="shared" si="0"/>
        <v>1</v>
      </c>
      <c r="K27" s="18">
        <v>3.25</v>
      </c>
      <c r="L27" s="19">
        <v>1</v>
      </c>
      <c r="M27" s="8">
        <f t="shared" si="1"/>
        <v>1</v>
      </c>
      <c r="N27" s="6">
        <f t="shared" si="2"/>
        <v>2.25</v>
      </c>
      <c r="O27" s="6">
        <f t="shared" si="3"/>
        <v>-0.04</v>
      </c>
      <c r="P27" s="8">
        <f t="shared" si="4"/>
        <v>2.21</v>
      </c>
      <c r="Q27" s="13">
        <f t="shared" si="5"/>
        <v>1.7999999999999994</v>
      </c>
    </row>
    <row r="28" spans="1:17" x14ac:dyDescent="0.25">
      <c r="A28" s="9"/>
      <c r="B28" s="16">
        <v>27</v>
      </c>
      <c r="C28" s="5">
        <v>46082</v>
      </c>
      <c r="D28" s="33"/>
      <c r="E28" s="5"/>
      <c r="F28" s="17" t="s">
        <v>208</v>
      </c>
      <c r="G28" s="21" t="s">
        <v>209</v>
      </c>
      <c r="H28" s="14">
        <v>0</v>
      </c>
      <c r="I28" s="14">
        <v>0</v>
      </c>
      <c r="J28" s="16">
        <f t="shared" si="0"/>
        <v>0</v>
      </c>
      <c r="K28" s="18">
        <v>3.15</v>
      </c>
      <c r="L28" s="19">
        <v>1</v>
      </c>
      <c r="M28" s="8">
        <f t="shared" si="1"/>
        <v>1</v>
      </c>
      <c r="N28" s="6">
        <f t="shared" si="2"/>
        <v>-1</v>
      </c>
      <c r="O28" s="6">
        <f t="shared" si="3"/>
        <v>0</v>
      </c>
      <c r="P28" s="8">
        <f t="shared" si="4"/>
        <v>-1</v>
      </c>
      <c r="Q28" s="13">
        <f t="shared" si="5"/>
        <v>0.79999999999999938</v>
      </c>
    </row>
    <row r="29" spans="1:17" x14ac:dyDescent="0.25">
      <c r="A29" s="9"/>
      <c r="B29" s="16">
        <v>28</v>
      </c>
      <c r="C29" s="5">
        <v>46082</v>
      </c>
      <c r="D29" s="33"/>
      <c r="E29" s="5"/>
      <c r="F29" s="17" t="s">
        <v>210</v>
      </c>
      <c r="G29" s="21" t="s">
        <v>211</v>
      </c>
      <c r="H29" s="14">
        <v>1</v>
      </c>
      <c r="I29" s="14">
        <v>2</v>
      </c>
      <c r="J29" s="16">
        <f t="shared" si="0"/>
        <v>0</v>
      </c>
      <c r="K29" s="18">
        <v>3.2</v>
      </c>
      <c r="L29" s="19">
        <v>1</v>
      </c>
      <c r="M29" s="8">
        <f t="shared" si="1"/>
        <v>1</v>
      </c>
      <c r="N29" s="6">
        <f t="shared" si="2"/>
        <v>-1</v>
      </c>
      <c r="O29" s="6">
        <f t="shared" si="3"/>
        <v>0</v>
      </c>
      <c r="P29" s="8">
        <f t="shared" si="4"/>
        <v>-1</v>
      </c>
      <c r="Q29" s="13">
        <f t="shared" si="5"/>
        <v>-0.20000000000000062</v>
      </c>
    </row>
    <row r="30" spans="1:17" x14ac:dyDescent="0.25">
      <c r="A30" s="9"/>
      <c r="B30" s="16">
        <v>29</v>
      </c>
      <c r="C30" s="5">
        <v>46082</v>
      </c>
      <c r="D30" s="33"/>
      <c r="E30" s="5"/>
      <c r="F30" s="17" t="s">
        <v>212</v>
      </c>
      <c r="G30" s="21" t="s">
        <v>213</v>
      </c>
      <c r="H30" s="14">
        <v>1</v>
      </c>
      <c r="I30" s="14">
        <v>0</v>
      </c>
      <c r="J30" s="16">
        <f t="shared" si="0"/>
        <v>1</v>
      </c>
      <c r="K30" s="18">
        <v>3.2</v>
      </c>
      <c r="L30" s="19">
        <v>1</v>
      </c>
      <c r="M30" s="8">
        <f t="shared" si="1"/>
        <v>1</v>
      </c>
      <c r="N30" s="6">
        <f t="shared" si="2"/>
        <v>2.2000000000000002</v>
      </c>
      <c r="O30" s="6">
        <f t="shared" si="3"/>
        <v>-0.04</v>
      </c>
      <c r="P30" s="8">
        <f t="shared" si="4"/>
        <v>2.16</v>
      </c>
      <c r="Q30" s="13">
        <f t="shared" si="5"/>
        <v>1.9599999999999995</v>
      </c>
    </row>
    <row r="31" spans="1:17" x14ac:dyDescent="0.25">
      <c r="A31" s="9"/>
      <c r="B31" s="16">
        <v>30</v>
      </c>
      <c r="C31" s="5">
        <v>46083</v>
      </c>
      <c r="D31" s="33"/>
      <c r="E31" s="5"/>
      <c r="F31" s="17" t="s">
        <v>214</v>
      </c>
      <c r="G31" s="21" t="s">
        <v>215</v>
      </c>
      <c r="H31" s="14">
        <v>3</v>
      </c>
      <c r="I31" s="14">
        <v>0</v>
      </c>
      <c r="J31" s="16">
        <f t="shared" si="0"/>
        <v>1</v>
      </c>
      <c r="K31" s="18">
        <v>3.35</v>
      </c>
      <c r="L31" s="19">
        <v>1</v>
      </c>
      <c r="M31" s="8">
        <f t="shared" si="1"/>
        <v>1</v>
      </c>
      <c r="N31" s="6">
        <f t="shared" si="2"/>
        <v>2.35</v>
      </c>
      <c r="O31" s="6">
        <f t="shared" si="3"/>
        <v>-0.04</v>
      </c>
      <c r="P31" s="8">
        <f t="shared" si="4"/>
        <v>2.31</v>
      </c>
      <c r="Q31" s="13">
        <f t="shared" si="5"/>
        <v>4.2699999999999996</v>
      </c>
    </row>
    <row r="32" spans="1:17" x14ac:dyDescent="0.25">
      <c r="A32" s="9"/>
      <c r="B32" s="16">
        <v>31</v>
      </c>
      <c r="C32" s="5">
        <v>46084</v>
      </c>
      <c r="D32" s="33"/>
      <c r="E32" s="5"/>
      <c r="F32" s="17" t="s">
        <v>216</v>
      </c>
      <c r="G32" s="21" t="s">
        <v>217</v>
      </c>
      <c r="H32" s="14">
        <v>2</v>
      </c>
      <c r="I32" s="14">
        <v>1</v>
      </c>
      <c r="J32" s="16">
        <f t="shared" si="0"/>
        <v>1</v>
      </c>
      <c r="K32" s="18">
        <v>3.05</v>
      </c>
      <c r="L32" s="19">
        <v>1</v>
      </c>
      <c r="M32" s="8">
        <f t="shared" si="1"/>
        <v>1</v>
      </c>
      <c r="N32" s="6">
        <f t="shared" si="2"/>
        <v>2.0499999999999998</v>
      </c>
      <c r="O32" s="6">
        <f t="shared" si="3"/>
        <v>-0.04</v>
      </c>
      <c r="P32" s="8">
        <f t="shared" si="4"/>
        <v>2.0099999999999998</v>
      </c>
      <c r="Q32" s="13">
        <f t="shared" si="5"/>
        <v>6.2799999999999994</v>
      </c>
    </row>
    <row r="33" spans="1:17" x14ac:dyDescent="0.25">
      <c r="A33" s="9"/>
      <c r="B33" s="16">
        <v>32</v>
      </c>
      <c r="C33" s="5">
        <v>46084</v>
      </c>
      <c r="D33" s="33"/>
      <c r="E33" s="5"/>
      <c r="F33" s="17" t="s">
        <v>218</v>
      </c>
      <c r="G33" s="21" t="s">
        <v>219</v>
      </c>
      <c r="H33" s="14">
        <v>1</v>
      </c>
      <c r="I33" s="14">
        <v>1</v>
      </c>
      <c r="J33" s="16">
        <f t="shared" si="0"/>
        <v>0</v>
      </c>
      <c r="K33" s="18">
        <v>3.25</v>
      </c>
      <c r="L33" s="19">
        <v>1</v>
      </c>
      <c r="M33" s="8">
        <f t="shared" si="1"/>
        <v>1</v>
      </c>
      <c r="N33" s="6">
        <f t="shared" si="2"/>
        <v>-1</v>
      </c>
      <c r="O33" s="6">
        <f t="shared" si="3"/>
        <v>0</v>
      </c>
      <c r="P33" s="8">
        <f t="shared" si="4"/>
        <v>-1</v>
      </c>
      <c r="Q33" s="13">
        <f t="shared" si="5"/>
        <v>5.2799999999999994</v>
      </c>
    </row>
    <row r="34" spans="1:17" x14ac:dyDescent="0.25">
      <c r="A34" s="9"/>
      <c r="B34" s="16">
        <v>33</v>
      </c>
      <c r="C34" s="5">
        <v>46084</v>
      </c>
      <c r="D34" s="33"/>
      <c r="E34" s="5"/>
      <c r="F34" s="17" t="s">
        <v>132</v>
      </c>
      <c r="G34" s="21" t="s">
        <v>133</v>
      </c>
      <c r="H34" s="14">
        <v>0</v>
      </c>
      <c r="I34" s="14">
        <v>4</v>
      </c>
      <c r="J34" s="16">
        <f t="shared" si="0"/>
        <v>0</v>
      </c>
      <c r="K34" s="18">
        <v>3.35</v>
      </c>
      <c r="L34" s="19">
        <v>1</v>
      </c>
      <c r="M34" s="8">
        <f t="shared" si="1"/>
        <v>1</v>
      </c>
      <c r="N34" s="6">
        <f t="shared" si="2"/>
        <v>-1</v>
      </c>
      <c r="O34" s="6">
        <f t="shared" si="3"/>
        <v>0</v>
      </c>
      <c r="P34" s="8">
        <f t="shared" si="4"/>
        <v>-1</v>
      </c>
      <c r="Q34" s="13">
        <f t="shared" si="5"/>
        <v>4.2799999999999994</v>
      </c>
    </row>
    <row r="35" spans="1:17" x14ac:dyDescent="0.25">
      <c r="A35" s="9"/>
      <c r="B35" s="16">
        <v>34</v>
      </c>
      <c r="C35" s="5">
        <v>46084</v>
      </c>
      <c r="D35" s="33"/>
      <c r="E35" s="5"/>
      <c r="F35" s="17" t="s">
        <v>222</v>
      </c>
      <c r="G35" s="21" t="s">
        <v>223</v>
      </c>
      <c r="H35" s="14">
        <v>1</v>
      </c>
      <c r="I35" s="14">
        <v>0</v>
      </c>
      <c r="J35" s="16">
        <f t="shared" si="0"/>
        <v>1</v>
      </c>
      <c r="K35" s="18">
        <v>3.05</v>
      </c>
      <c r="L35" s="19">
        <v>1</v>
      </c>
      <c r="M35" s="8">
        <f t="shared" si="1"/>
        <v>1</v>
      </c>
      <c r="N35" s="6">
        <f t="shared" si="2"/>
        <v>2.0499999999999998</v>
      </c>
      <c r="O35" s="6">
        <f t="shared" si="3"/>
        <v>-0.04</v>
      </c>
      <c r="P35" s="8">
        <f t="shared" si="4"/>
        <v>2.0099999999999998</v>
      </c>
      <c r="Q35" s="13">
        <f t="shared" si="5"/>
        <v>6.2899999999999991</v>
      </c>
    </row>
    <row r="36" spans="1:17" x14ac:dyDescent="0.25">
      <c r="A36" s="9"/>
      <c r="B36" s="16">
        <v>35</v>
      </c>
      <c r="C36" s="5">
        <v>46084</v>
      </c>
      <c r="D36" s="33"/>
      <c r="E36" s="5"/>
      <c r="F36" s="17" t="s">
        <v>220</v>
      </c>
      <c r="G36" s="21" t="s">
        <v>221</v>
      </c>
      <c r="H36" s="14">
        <v>0</v>
      </c>
      <c r="I36" s="14">
        <v>1</v>
      </c>
      <c r="J36" s="16">
        <f t="shared" si="0"/>
        <v>0</v>
      </c>
      <c r="K36" s="18">
        <v>3.2</v>
      </c>
      <c r="L36" s="19">
        <v>1</v>
      </c>
      <c r="M36" s="8">
        <f t="shared" si="1"/>
        <v>1</v>
      </c>
      <c r="N36" s="6">
        <f t="shared" si="2"/>
        <v>-1</v>
      </c>
      <c r="O36" s="6">
        <f t="shared" si="3"/>
        <v>0</v>
      </c>
      <c r="P36" s="8">
        <f t="shared" si="4"/>
        <v>-1</v>
      </c>
      <c r="Q36" s="13">
        <f t="shared" si="5"/>
        <v>5.2899999999999991</v>
      </c>
    </row>
    <row r="37" spans="1:17" x14ac:dyDescent="0.25">
      <c r="A37" s="9"/>
      <c r="B37" s="25">
        <v>36</v>
      </c>
      <c r="C37" s="5">
        <v>46084</v>
      </c>
      <c r="D37" s="33"/>
      <c r="E37" s="5"/>
      <c r="F37" s="17" t="s">
        <v>134</v>
      </c>
      <c r="G37" s="21" t="s">
        <v>135</v>
      </c>
      <c r="H37" s="14">
        <v>0</v>
      </c>
      <c r="I37" s="14">
        <v>3</v>
      </c>
      <c r="J37" s="16">
        <f t="shared" si="0"/>
        <v>0</v>
      </c>
      <c r="K37" s="18">
        <v>3.4</v>
      </c>
      <c r="L37" s="19">
        <v>1</v>
      </c>
      <c r="M37" s="8">
        <f t="shared" si="1"/>
        <v>1</v>
      </c>
      <c r="N37" s="6">
        <f t="shared" si="2"/>
        <v>-1</v>
      </c>
      <c r="O37" s="6">
        <f t="shared" si="3"/>
        <v>0</v>
      </c>
      <c r="P37" s="8">
        <f t="shared" si="4"/>
        <v>-1</v>
      </c>
      <c r="Q37" s="13">
        <f t="shared" si="5"/>
        <v>4.2899999999999991</v>
      </c>
    </row>
    <row r="38" spans="1:17" x14ac:dyDescent="0.25">
      <c r="A38" s="9"/>
      <c r="B38" s="25">
        <v>37</v>
      </c>
      <c r="C38" s="5">
        <v>46085</v>
      </c>
      <c r="D38" s="33"/>
      <c r="E38" s="5"/>
      <c r="F38" s="17" t="s">
        <v>224</v>
      </c>
      <c r="G38" s="21" t="s">
        <v>225</v>
      </c>
      <c r="H38" s="14">
        <v>0</v>
      </c>
      <c r="I38" s="14">
        <v>1</v>
      </c>
      <c r="J38" s="16">
        <f t="shared" si="0"/>
        <v>0</v>
      </c>
      <c r="K38" s="18">
        <v>3.1</v>
      </c>
      <c r="L38" s="19">
        <v>1</v>
      </c>
      <c r="M38" s="8">
        <f t="shared" si="1"/>
        <v>1</v>
      </c>
      <c r="N38" s="6">
        <f t="shared" si="2"/>
        <v>-1</v>
      </c>
      <c r="O38" s="6">
        <f t="shared" si="3"/>
        <v>0</v>
      </c>
      <c r="P38" s="8">
        <f t="shared" si="4"/>
        <v>-1</v>
      </c>
      <c r="Q38" s="13">
        <f t="shared" si="5"/>
        <v>3.2899999999999991</v>
      </c>
    </row>
    <row r="39" spans="1:17" x14ac:dyDescent="0.25">
      <c r="A39" s="9"/>
      <c r="B39" s="25">
        <v>38</v>
      </c>
      <c r="C39" s="5">
        <v>46085</v>
      </c>
      <c r="D39" s="33"/>
      <c r="E39" s="5"/>
      <c r="F39" s="17" t="s">
        <v>226</v>
      </c>
      <c r="G39" s="21" t="s">
        <v>227</v>
      </c>
      <c r="H39" s="14">
        <v>2</v>
      </c>
      <c r="I39" s="14">
        <v>1</v>
      </c>
      <c r="J39" s="16">
        <f t="shared" si="0"/>
        <v>1</v>
      </c>
      <c r="K39" s="18">
        <v>3.2</v>
      </c>
      <c r="L39" s="19">
        <v>1</v>
      </c>
      <c r="M39" s="8">
        <f t="shared" si="1"/>
        <v>1</v>
      </c>
      <c r="N39" s="6">
        <f t="shared" si="2"/>
        <v>2.2000000000000002</v>
      </c>
      <c r="O39" s="6">
        <f t="shared" si="3"/>
        <v>-0.04</v>
      </c>
      <c r="P39" s="8">
        <f t="shared" si="4"/>
        <v>2.16</v>
      </c>
      <c r="Q39" s="13">
        <f t="shared" si="5"/>
        <v>5.4499999999999993</v>
      </c>
    </row>
    <row r="40" spans="1:17" x14ac:dyDescent="0.25">
      <c r="A40" s="9"/>
      <c r="B40" s="25">
        <v>39</v>
      </c>
      <c r="C40" s="5">
        <v>46085</v>
      </c>
      <c r="D40" s="33"/>
      <c r="E40" s="5"/>
      <c r="F40" s="17" t="s">
        <v>26</v>
      </c>
      <c r="G40" s="21" t="s">
        <v>228</v>
      </c>
      <c r="H40" s="14">
        <v>1</v>
      </c>
      <c r="I40" s="14">
        <v>4</v>
      </c>
      <c r="J40" s="16">
        <f t="shared" si="0"/>
        <v>0</v>
      </c>
      <c r="K40" s="18">
        <v>2.96</v>
      </c>
      <c r="L40" s="19">
        <v>1</v>
      </c>
      <c r="M40" s="8">
        <f t="shared" si="1"/>
        <v>1</v>
      </c>
      <c r="N40" s="6">
        <f t="shared" si="2"/>
        <v>-1</v>
      </c>
      <c r="O40" s="6">
        <f t="shared" si="3"/>
        <v>0</v>
      </c>
      <c r="P40" s="8">
        <f t="shared" si="4"/>
        <v>-1</v>
      </c>
      <c r="Q40" s="13">
        <f t="shared" si="5"/>
        <v>4.4499999999999993</v>
      </c>
    </row>
    <row r="41" spans="1:17" x14ac:dyDescent="0.25">
      <c r="A41" s="9"/>
      <c r="B41" s="25">
        <v>40</v>
      </c>
      <c r="C41" s="5">
        <v>46086</v>
      </c>
      <c r="D41" s="33"/>
      <c r="E41" s="5"/>
      <c r="F41" s="17" t="s">
        <v>235</v>
      </c>
      <c r="G41" s="21" t="s">
        <v>236</v>
      </c>
      <c r="H41" s="14">
        <v>1</v>
      </c>
      <c r="I41" s="14">
        <v>4</v>
      </c>
      <c r="J41" s="16">
        <f t="shared" si="0"/>
        <v>0</v>
      </c>
      <c r="K41" s="18">
        <v>3.35</v>
      </c>
      <c r="L41" s="19">
        <v>1</v>
      </c>
      <c r="M41" s="8">
        <f t="shared" si="1"/>
        <v>1</v>
      </c>
      <c r="N41" s="6">
        <f t="shared" si="2"/>
        <v>-1</v>
      </c>
      <c r="O41" s="6">
        <f t="shared" si="3"/>
        <v>0</v>
      </c>
      <c r="P41" s="8">
        <f t="shared" si="4"/>
        <v>-1</v>
      </c>
      <c r="Q41" s="13">
        <f t="shared" si="5"/>
        <v>3.4499999999999993</v>
      </c>
    </row>
    <row r="42" spans="1:17" x14ac:dyDescent="0.25">
      <c r="A42" s="9"/>
      <c r="B42" s="25">
        <v>41</v>
      </c>
      <c r="C42" s="5">
        <v>46086</v>
      </c>
      <c r="D42" s="33"/>
      <c r="E42" s="5"/>
      <c r="F42" s="17" t="s">
        <v>237</v>
      </c>
      <c r="G42" s="21" t="s">
        <v>238</v>
      </c>
      <c r="H42" s="14">
        <v>2</v>
      </c>
      <c r="I42" s="14">
        <v>2</v>
      </c>
      <c r="J42" s="16">
        <f t="shared" si="0"/>
        <v>0</v>
      </c>
      <c r="K42" s="18">
        <v>2.96</v>
      </c>
      <c r="L42" s="19">
        <v>1</v>
      </c>
      <c r="M42" s="8">
        <f t="shared" si="1"/>
        <v>1</v>
      </c>
      <c r="N42" s="6">
        <f t="shared" si="2"/>
        <v>-1</v>
      </c>
      <c r="O42" s="6">
        <f t="shared" si="3"/>
        <v>0</v>
      </c>
      <c r="P42" s="8">
        <f t="shared" si="4"/>
        <v>-1</v>
      </c>
      <c r="Q42" s="13">
        <f t="shared" si="5"/>
        <v>2.4499999999999993</v>
      </c>
    </row>
    <row r="43" spans="1:17" x14ac:dyDescent="0.25">
      <c r="A43" s="9"/>
      <c r="B43" s="25">
        <v>42</v>
      </c>
      <c r="C43" s="5">
        <v>46087</v>
      </c>
      <c r="D43" s="33"/>
      <c r="E43" s="5"/>
      <c r="F43" s="17" t="s">
        <v>275</v>
      </c>
      <c r="G43" s="21" t="s">
        <v>276</v>
      </c>
      <c r="H43" s="14">
        <v>2</v>
      </c>
      <c r="I43" s="14">
        <v>2</v>
      </c>
      <c r="J43" s="16">
        <f t="shared" si="0"/>
        <v>0</v>
      </c>
      <c r="K43" s="18">
        <v>3.15</v>
      </c>
      <c r="L43" s="19">
        <v>1</v>
      </c>
      <c r="M43" s="8">
        <f t="shared" si="1"/>
        <v>1</v>
      </c>
      <c r="N43" s="6">
        <f t="shared" si="2"/>
        <v>-1</v>
      </c>
      <c r="O43" s="6">
        <f t="shared" si="3"/>
        <v>0</v>
      </c>
      <c r="P43" s="8">
        <f t="shared" si="4"/>
        <v>-1</v>
      </c>
      <c r="Q43" s="13">
        <f t="shared" si="5"/>
        <v>1.4499999999999993</v>
      </c>
    </row>
    <row r="44" spans="1:17" x14ac:dyDescent="0.25">
      <c r="A44" s="9"/>
      <c r="B44" s="25">
        <v>43</v>
      </c>
      <c r="C44" s="5">
        <v>46087</v>
      </c>
      <c r="D44" s="33"/>
      <c r="E44" s="5"/>
      <c r="F44" s="17" t="s">
        <v>277</v>
      </c>
      <c r="G44" s="21" t="s">
        <v>278</v>
      </c>
      <c r="H44" s="14">
        <v>0</v>
      </c>
      <c r="I44" s="14">
        <v>1</v>
      </c>
      <c r="J44" s="16">
        <f t="shared" si="0"/>
        <v>0</v>
      </c>
      <c r="K44" s="18">
        <v>3.3</v>
      </c>
      <c r="L44" s="19">
        <v>1</v>
      </c>
      <c r="M44" s="8">
        <f t="shared" si="1"/>
        <v>1</v>
      </c>
      <c r="N44" s="6">
        <f t="shared" si="2"/>
        <v>-1</v>
      </c>
      <c r="O44" s="6">
        <f t="shared" si="3"/>
        <v>0</v>
      </c>
      <c r="P44" s="8">
        <f t="shared" si="4"/>
        <v>-1</v>
      </c>
      <c r="Q44" s="13">
        <f t="shared" si="5"/>
        <v>0.44999999999999929</v>
      </c>
    </row>
    <row r="45" spans="1:17" x14ac:dyDescent="0.25">
      <c r="A45" s="9"/>
      <c r="B45" s="25">
        <v>44</v>
      </c>
      <c r="C45" s="5">
        <v>46087</v>
      </c>
      <c r="D45" s="33"/>
      <c r="E45" s="5"/>
      <c r="F45" s="17" t="s">
        <v>253</v>
      </c>
      <c r="G45" s="21" t="s">
        <v>254</v>
      </c>
      <c r="H45" s="14">
        <v>1</v>
      </c>
      <c r="I45" s="14">
        <v>3</v>
      </c>
      <c r="J45" s="16">
        <f t="shared" si="0"/>
        <v>0</v>
      </c>
      <c r="K45" s="18">
        <v>3.35</v>
      </c>
      <c r="L45" s="19">
        <v>1</v>
      </c>
      <c r="M45" s="8">
        <f t="shared" si="1"/>
        <v>1</v>
      </c>
      <c r="N45" s="6">
        <f t="shared" si="2"/>
        <v>-1</v>
      </c>
      <c r="O45" s="6">
        <f t="shared" si="3"/>
        <v>0</v>
      </c>
      <c r="P45" s="8">
        <f t="shared" si="4"/>
        <v>-1</v>
      </c>
      <c r="Q45" s="13">
        <f t="shared" si="5"/>
        <v>-0.55000000000000071</v>
      </c>
    </row>
    <row r="46" spans="1:17" x14ac:dyDescent="0.25">
      <c r="B46" s="25">
        <v>45</v>
      </c>
      <c r="C46" s="5">
        <v>46087</v>
      </c>
      <c r="D46" s="33"/>
      <c r="E46" s="5"/>
      <c r="F46" s="17" t="s">
        <v>279</v>
      </c>
      <c r="G46" s="21" t="s">
        <v>280</v>
      </c>
      <c r="H46" s="14">
        <v>0</v>
      </c>
      <c r="I46" s="14">
        <v>0</v>
      </c>
      <c r="J46" s="16">
        <f t="shared" si="0"/>
        <v>0</v>
      </c>
      <c r="K46" s="18">
        <v>3.3</v>
      </c>
      <c r="L46" s="19">
        <v>1</v>
      </c>
      <c r="M46" s="8">
        <f t="shared" si="1"/>
        <v>1</v>
      </c>
      <c r="N46" s="6">
        <f t="shared" si="2"/>
        <v>-1</v>
      </c>
      <c r="O46" s="6">
        <f t="shared" si="3"/>
        <v>0</v>
      </c>
      <c r="P46" s="8">
        <f t="shared" si="4"/>
        <v>-1</v>
      </c>
      <c r="Q46" s="13">
        <f t="shared" si="5"/>
        <v>-1.5500000000000007</v>
      </c>
    </row>
    <row r="47" spans="1:17" x14ac:dyDescent="0.25">
      <c r="B47" s="25">
        <v>46</v>
      </c>
      <c r="C47" s="5">
        <v>46087</v>
      </c>
      <c r="D47" s="33"/>
      <c r="E47" s="5"/>
      <c r="F47" s="17" t="s">
        <v>281</v>
      </c>
      <c r="G47" s="21" t="s">
        <v>282</v>
      </c>
      <c r="H47" s="14">
        <v>1</v>
      </c>
      <c r="I47" s="14">
        <v>1</v>
      </c>
      <c r="J47" s="16">
        <f t="shared" si="0"/>
        <v>0</v>
      </c>
      <c r="K47" s="18">
        <v>2.94</v>
      </c>
      <c r="L47" s="19">
        <v>1</v>
      </c>
      <c r="M47" s="8">
        <f t="shared" si="1"/>
        <v>1</v>
      </c>
      <c r="N47" s="6">
        <f t="shared" si="2"/>
        <v>-1</v>
      </c>
      <c r="O47" s="6">
        <f t="shared" si="3"/>
        <v>0</v>
      </c>
      <c r="P47" s="8">
        <f t="shared" si="4"/>
        <v>-1</v>
      </c>
      <c r="Q47" s="13">
        <f t="shared" si="5"/>
        <v>-2.5500000000000007</v>
      </c>
    </row>
    <row r="48" spans="1:17" x14ac:dyDescent="0.25">
      <c r="B48" s="25">
        <v>47</v>
      </c>
      <c r="C48" s="5">
        <v>46087</v>
      </c>
      <c r="D48" s="33"/>
      <c r="E48" s="5"/>
      <c r="F48" s="17" t="s">
        <v>283</v>
      </c>
      <c r="G48" s="21" t="s">
        <v>284</v>
      </c>
      <c r="H48" s="14">
        <v>4</v>
      </c>
      <c r="I48" s="14">
        <v>2</v>
      </c>
      <c r="J48" s="16">
        <f t="shared" si="0"/>
        <v>1</v>
      </c>
      <c r="K48" s="18">
        <v>3.25</v>
      </c>
      <c r="L48" s="19">
        <v>1</v>
      </c>
      <c r="M48" s="8">
        <f t="shared" si="1"/>
        <v>1</v>
      </c>
      <c r="N48" s="6">
        <f t="shared" si="2"/>
        <v>2.25</v>
      </c>
      <c r="O48" s="6">
        <f t="shared" si="3"/>
        <v>-0.04</v>
      </c>
      <c r="P48" s="8">
        <f t="shared" si="4"/>
        <v>2.21</v>
      </c>
      <c r="Q48" s="13">
        <f t="shared" si="5"/>
        <v>-0.34000000000000075</v>
      </c>
    </row>
    <row r="49" spans="4:17" x14ac:dyDescent="0.25">
      <c r="D49" s="34">
        <v>0.16666666666666666</v>
      </c>
      <c r="E49" s="17" t="s">
        <v>307</v>
      </c>
      <c r="F49" s="17" t="s">
        <v>308</v>
      </c>
      <c r="G49" s="17" t="s">
        <v>309</v>
      </c>
      <c r="H49" s="14">
        <v>1</v>
      </c>
      <c r="I49" s="14">
        <v>5</v>
      </c>
      <c r="J49" s="14">
        <f t="shared" si="0"/>
        <v>0</v>
      </c>
      <c r="K49" s="35">
        <v>3.3</v>
      </c>
      <c r="L49" s="19">
        <v>1</v>
      </c>
      <c r="M49" s="8">
        <f t="shared" ref="M49:M55" si="6">L49</f>
        <v>1</v>
      </c>
      <c r="N49" s="6">
        <f t="shared" ref="N49:N55" si="7">IF(J49=1,K49-1*L49,-L49)</f>
        <v>-1</v>
      </c>
      <c r="O49" s="6">
        <f t="shared" si="3"/>
        <v>0</v>
      </c>
      <c r="P49" s="8">
        <f t="shared" si="4"/>
        <v>-1</v>
      </c>
      <c r="Q49" s="13">
        <f t="shared" si="5"/>
        <v>-1.3400000000000007</v>
      </c>
    </row>
    <row r="50" spans="4:17" x14ac:dyDescent="0.25">
      <c r="D50" s="34">
        <v>0.39583333333333331</v>
      </c>
      <c r="E50" s="17" t="s">
        <v>316</v>
      </c>
      <c r="F50" s="17" t="s">
        <v>317</v>
      </c>
      <c r="G50" s="17" t="s">
        <v>195</v>
      </c>
      <c r="H50" s="14">
        <v>1</v>
      </c>
      <c r="I50" s="14">
        <v>3</v>
      </c>
      <c r="J50" s="14">
        <f t="shared" si="0"/>
        <v>0</v>
      </c>
      <c r="K50" s="35">
        <v>3.35</v>
      </c>
      <c r="L50" s="19">
        <v>1</v>
      </c>
      <c r="M50" s="8">
        <f t="shared" si="6"/>
        <v>1</v>
      </c>
      <c r="N50" s="6">
        <f t="shared" si="7"/>
        <v>-1</v>
      </c>
      <c r="O50" s="6">
        <f t="shared" si="3"/>
        <v>0</v>
      </c>
      <c r="P50" s="8">
        <f t="shared" si="4"/>
        <v>-1</v>
      </c>
      <c r="Q50" s="13">
        <f t="shared" si="5"/>
        <v>-2.3400000000000007</v>
      </c>
    </row>
    <row r="51" spans="4:17" x14ac:dyDescent="0.25">
      <c r="D51" s="34">
        <v>0.5</v>
      </c>
      <c r="E51" s="17" t="s">
        <v>296</v>
      </c>
      <c r="F51" s="17" t="s">
        <v>318</v>
      </c>
      <c r="G51" s="17" t="s">
        <v>319</v>
      </c>
      <c r="H51" s="14">
        <v>1</v>
      </c>
      <c r="I51" s="14">
        <v>2</v>
      </c>
      <c r="J51" s="14">
        <f t="shared" si="0"/>
        <v>0</v>
      </c>
      <c r="K51" s="35">
        <v>3.25</v>
      </c>
      <c r="L51" s="19">
        <v>1</v>
      </c>
      <c r="M51" s="8">
        <f t="shared" si="6"/>
        <v>1</v>
      </c>
      <c r="N51" s="6">
        <f t="shared" si="7"/>
        <v>-1</v>
      </c>
      <c r="O51" s="6">
        <f t="shared" si="3"/>
        <v>0</v>
      </c>
      <c r="P51" s="8">
        <f t="shared" si="4"/>
        <v>-1</v>
      </c>
      <c r="Q51" s="13">
        <f t="shared" si="5"/>
        <v>-3.3400000000000007</v>
      </c>
    </row>
    <row r="52" spans="4:17" x14ac:dyDescent="0.25">
      <c r="D52" s="34">
        <v>0.51041666666666663</v>
      </c>
      <c r="E52" s="17" t="s">
        <v>320</v>
      </c>
      <c r="F52" s="17" t="s">
        <v>321</v>
      </c>
      <c r="G52" s="17" t="s">
        <v>322</v>
      </c>
      <c r="H52" s="14">
        <v>1</v>
      </c>
      <c r="I52" s="14">
        <v>1</v>
      </c>
      <c r="J52" s="14">
        <f t="shared" si="0"/>
        <v>0</v>
      </c>
      <c r="K52" s="35">
        <v>2.96</v>
      </c>
      <c r="L52" s="19">
        <v>1</v>
      </c>
      <c r="M52" s="8">
        <f t="shared" si="6"/>
        <v>1</v>
      </c>
      <c r="N52" s="6">
        <f t="shared" si="7"/>
        <v>-1</v>
      </c>
      <c r="O52" s="6">
        <f t="shared" si="3"/>
        <v>0</v>
      </c>
      <c r="P52" s="8">
        <f t="shared" si="4"/>
        <v>-1</v>
      </c>
      <c r="Q52" s="13">
        <f t="shared" si="5"/>
        <v>-4.3400000000000007</v>
      </c>
    </row>
    <row r="53" spans="4:17" x14ac:dyDescent="0.25">
      <c r="D53" s="34">
        <v>0.52083333333333337</v>
      </c>
      <c r="E53" s="17" t="s">
        <v>323</v>
      </c>
      <c r="F53" s="17" t="s">
        <v>324</v>
      </c>
      <c r="G53" s="17" t="s">
        <v>325</v>
      </c>
      <c r="H53" s="14">
        <v>1</v>
      </c>
      <c r="I53" s="14">
        <v>0</v>
      </c>
      <c r="J53" s="14">
        <f t="shared" si="0"/>
        <v>1</v>
      </c>
      <c r="K53" s="35">
        <v>3.35</v>
      </c>
      <c r="L53" s="19">
        <v>1</v>
      </c>
      <c r="M53" s="8">
        <f t="shared" si="6"/>
        <v>1</v>
      </c>
      <c r="N53" s="6">
        <f t="shared" si="7"/>
        <v>2.35</v>
      </c>
      <c r="O53" s="6">
        <f t="shared" si="3"/>
        <v>-0.04</v>
      </c>
      <c r="P53" s="8">
        <f t="shared" si="4"/>
        <v>2.31</v>
      </c>
      <c r="Q53" s="13">
        <f t="shared" si="5"/>
        <v>-2.0300000000000007</v>
      </c>
    </row>
    <row r="54" spans="4:17" x14ac:dyDescent="0.25">
      <c r="D54" s="34">
        <v>0.69791666666666663</v>
      </c>
      <c r="E54" s="17" t="s">
        <v>326</v>
      </c>
      <c r="F54" s="17" t="s">
        <v>327</v>
      </c>
      <c r="G54" s="17" t="s">
        <v>328</v>
      </c>
      <c r="H54" s="14">
        <v>2</v>
      </c>
      <c r="I54" s="14">
        <v>1</v>
      </c>
      <c r="J54" s="14">
        <f t="shared" si="0"/>
        <v>1</v>
      </c>
      <c r="K54" s="35">
        <v>3.1</v>
      </c>
      <c r="L54" s="19">
        <v>1</v>
      </c>
      <c r="M54" s="8">
        <f t="shared" si="6"/>
        <v>1</v>
      </c>
      <c r="N54" s="6">
        <f t="shared" si="7"/>
        <v>2.1</v>
      </c>
      <c r="O54" s="6">
        <f t="shared" si="3"/>
        <v>-0.04</v>
      </c>
      <c r="P54" s="8">
        <f t="shared" si="4"/>
        <v>2.06</v>
      </c>
      <c r="Q54" s="13">
        <f t="shared" si="5"/>
        <v>2.9999999999999361E-2</v>
      </c>
    </row>
    <row r="55" spans="4:17" x14ac:dyDescent="0.25">
      <c r="D55" s="34">
        <v>0.71180555555555558</v>
      </c>
      <c r="E55" s="17" t="s">
        <v>329</v>
      </c>
      <c r="F55" s="17" t="s">
        <v>330</v>
      </c>
      <c r="G55" s="17" t="s">
        <v>331</v>
      </c>
      <c r="H55" s="14">
        <v>0</v>
      </c>
      <c r="I55" s="14">
        <v>1</v>
      </c>
      <c r="J55" s="14">
        <f t="shared" si="0"/>
        <v>0</v>
      </c>
      <c r="K55" s="35">
        <v>3.2</v>
      </c>
      <c r="L55" s="19">
        <v>1</v>
      </c>
      <c r="M55" s="8">
        <f t="shared" si="6"/>
        <v>1</v>
      </c>
      <c r="N55" s="6">
        <f t="shared" si="7"/>
        <v>-1</v>
      </c>
      <c r="O55" s="6">
        <f t="shared" si="3"/>
        <v>0</v>
      </c>
      <c r="P55" s="8">
        <f t="shared" si="4"/>
        <v>-1</v>
      </c>
      <c r="Q55" s="13">
        <f t="shared" si="5"/>
        <v>-0.97000000000000064</v>
      </c>
    </row>
    <row r="56" spans="4:17" x14ac:dyDescent="0.25">
      <c r="D56" s="38">
        <v>3.8194444444444448E-2</v>
      </c>
      <c r="E56" s="17" t="s">
        <v>307</v>
      </c>
      <c r="F56" s="17" t="s">
        <v>374</v>
      </c>
      <c r="G56" s="17" t="s">
        <v>375</v>
      </c>
      <c r="K56" s="17" t="s">
        <v>388</v>
      </c>
    </row>
    <row r="57" spans="4:17" x14ac:dyDescent="0.25">
      <c r="D57" s="38">
        <v>8.3333333333333329E-2</v>
      </c>
      <c r="E57" s="17" t="s">
        <v>376</v>
      </c>
      <c r="F57" s="17" t="s">
        <v>377</v>
      </c>
      <c r="G57" s="17" t="s">
        <v>378</v>
      </c>
      <c r="K57" s="17" t="s">
        <v>389</v>
      </c>
    </row>
    <row r="58" spans="4:17" x14ac:dyDescent="0.25">
      <c r="D58" s="38">
        <v>8.3333333333333329E-2</v>
      </c>
      <c r="E58" s="17" t="s">
        <v>379</v>
      </c>
      <c r="F58" s="17" t="s">
        <v>380</v>
      </c>
      <c r="G58" s="17" t="s">
        <v>381</v>
      </c>
      <c r="K58" s="17" t="s">
        <v>390</v>
      </c>
    </row>
    <row r="59" spans="4:17" x14ac:dyDescent="0.25">
      <c r="D59" s="38">
        <v>0.45833333333333331</v>
      </c>
      <c r="E59" s="17" t="s">
        <v>382</v>
      </c>
      <c r="F59" s="17" t="s">
        <v>383</v>
      </c>
      <c r="G59" s="17" t="s">
        <v>384</v>
      </c>
      <c r="K59" s="17" t="s">
        <v>391</v>
      </c>
    </row>
    <row r="60" spans="4:17" x14ac:dyDescent="0.25">
      <c r="D60" s="38">
        <v>0.52083333333333337</v>
      </c>
      <c r="E60" s="17" t="s">
        <v>385</v>
      </c>
      <c r="F60" s="17" t="s">
        <v>386</v>
      </c>
      <c r="G60" s="17" t="s">
        <v>387</v>
      </c>
      <c r="K60" s="17" t="s">
        <v>392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LAY DRAW HT</vt:lpstr>
      <vt:lpstr>HT(0x0) - BACK OVER 0.5</vt:lpstr>
      <vt:lpstr>LAY 0x1</vt:lpstr>
      <vt:lpstr>BACK OVER 0.5 HT</vt:lpstr>
      <vt:lpstr>BACK TIME CASA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Alves</cp:lastModifiedBy>
  <dcterms:created xsi:type="dcterms:W3CDTF">2015-06-05T18:19:34Z</dcterms:created>
  <dcterms:modified xsi:type="dcterms:W3CDTF">2026-03-08T13:05:44Z</dcterms:modified>
</cp:coreProperties>
</file>